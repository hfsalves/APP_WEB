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0a8f7b082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eamento" sheetId="1" r:id="R366ae66ff20b4fe3"/>
    <x:sheet xmlns:r="http://schemas.openxmlformats.org/officeDocument/2006/relationships" name="Obras" sheetId="2" r:id="R0fd98b896bb6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5">
    <x:font>
      <x:sz val="11"/>
      <x:name val="Carlito"/>
    </x:font>
    <x:font>
      <x:sz val="10"/>
      <x:color rgb="FF243043"/>
      <x:name val="Arial"/>
    </x:font>
    <x:font>
      <x:b/>
      <x:sz val="14"/>
      <x:color rgb="FF243043"/>
      <x:name val="Arial"/>
    </x:font>
    <x:font>
      <x:i/>
      <x:sz val="10"/>
      <x:color rgb="FF52617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B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74520A"/>
      </x:font>
      <x:fill>
        <x:patternFill patternType="solid">
          <x:bgColor rgb="FFFFF0D5"/>
        </x:patternFill>
      </x:fill>
    </x:dxf>
    <x:dxf>
      <x:font>
        <x:color rgb="FF42516A"/>
      </x:font>
      <x:fill>
        <x:patternFill patternType="solid">
          <x:bgColor rgb="FFE8EDF3"/>
        </x:patternFill>
      </x:fill>
    </x:dxf>
    <x:dxf>
      <x:font>
        <x:color rgb="FF74520A"/>
      </x:font>
      <x:fill>
        <x:patternFill patternType="solid">
          <x:bgColor rgb="FFFFF0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410aa31d94d58" /><Relationship Type="http://schemas.openxmlformats.org/officeDocument/2006/relationships/theme" Target="/xl/theme/theme1.xml" Id="R2b7e6e7e8e8a4289" /><Relationship Type="http://schemas.openxmlformats.org/officeDocument/2006/relationships/sharedStrings" Target="/xl/sharedStrings.xml" Id="R977ea2d30167401e" /><Relationship Type="http://schemas.openxmlformats.org/officeDocument/2006/relationships/worksheet" Target="/xl/worksheets/sheet1.xml" Id="R366ae66ff20b4fe3" /><Relationship Type="http://schemas.openxmlformats.org/officeDocument/2006/relationships/worksheet" Target="/xl/worksheets/sheet2.xml" Id="R0fd98b896bb64954" /></Relationships>
</file>

<file path=xl/tables/table1.xml><?xml version="1.0" encoding="utf-8"?>
<x:table xmlns:x="http://schemas.openxmlformats.org/spreadsheetml/2006/main" id="1" name="PlaneamentoEquipas" displayName="PlaneamentoEquipas" ref="A7:I188" headerRowCount="1" totalsRowCount="0" totalsRowShown="0">
  <x:tableColumns count="9">
    <x:tableColumn id="1" name="Data"/>
    <x:tableColumn id="2" name="Equipa"/>
    <x:tableColumn id="3" name="Código equipa"/>
    <x:tableColumn id="4" name="Referência no Excel"/>
    <x:tableColumn id="5" name="Processo"/>
    <x:tableColumn id="6" name="Obra identificada"/>
    <x:tableColumn id="7" name="Resultado"/>
    <x:tableColumn id="8" name="Linha Excel"/>
    <x:tableColumn id="9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spondenciasObras" displayName="CorrespondenciasObras" ref="A7:G31" headerRowCount="1" totalsRowCount="0" totalsRowShown="0">
  <x:tableColumns count="7">
    <x:tableColumn id="1" name="Referência no Excel"/>
    <x:tableColumn id="2" name="Processo"/>
    <x:tableColumn id="3" name="Obra identificada"/>
    <x:tableColumn id="4" name="Resultado"/>
    <x:tableColumn id="5" name="Correspondência"/>
    <x:tableColumn id="6" name="Alternativas a confirmar"/>
    <x:tableColumn id="7" name="Motivo / 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8f0ac0a13f4f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9546e9a88546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.109999656677246" hidden="0" customWidth="1"/>
    <x:col min="2" max="2" width="10.5600004196167" hidden="0" customWidth="1"/>
    <x:col min="3" max="3" width="10.5600004196167" hidden="0" customWidth="1"/>
    <x:col min="4" max="4" width="37.779998779296875" hidden="0" customWidth="1"/>
    <x:col min="5" max="5" width="12.220000267028809" hidden="0" customWidth="1"/>
    <x:col min="6" max="6" width="52.220001220703125" hidden="0" customWidth="1"/>
    <x:col min="7" max="7" width="13.890000343322754" hidden="0" customWidth="1"/>
    <x:col min="8" max="8" width="8.890000343322754" hidden="0" customWidth="1"/>
    <x:col min="9" max="9" width="73.3300018310546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Equipas e obras · 22/08 a 21/09/2026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Fonte: BETAOCONCEPT_Equipas Setembro 26.xlsx; catálogo e planeamento HSOLS_MASTER consultados em 14/10/2026.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Importados</x:v>
      </x:c>
      <x:c r="B4" s="2" t="n">
        <x:f>COUNTIFS(G8:G188,"Importado")</x:f>
        <x:v>135</x:v>
      </x:c>
      <x:c r="C4" s="2" t="str">
        <x:v>Sem ligação</x:v>
      </x:c>
      <x:c r="D4" s="2" t="n">
        <x:f>COUNTIFS(G8:G188,"Não importado")</x:f>
        <x:v>43</x:v>
      </x:c>
      <x:c r="E4" s="2" t="str">
        <x:v>Deslocações</x:v>
      </x:c>
      <x:c r="F4" s="2" t="n">
        <x:f>COUNTIFS(G8:G188,"Deslocação")</x:f>
        <x:v>3</x:v>
      </x:c>
      <x:c r="G4" s="2"/>
      <x:c r="H4" s="2"/>
      <x:c r="I4" s="2"/>
    </x:row>
    <x:row r="5">
      <x:c r="A5" s="2" t="str">
        <x:v>Importação realizada em 14/10/2026: 135 associações com código. Referências sem correspondência e deslocações omitidas.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8" t="str">
        <x:v>Data</x:v>
      </x:c>
      <x:c r="B7" s="8" t="str">
        <x:v>Equipa</x:v>
      </x:c>
      <x:c r="C7" s="8" t="str">
        <x:v>Código equipa</x:v>
      </x:c>
      <x:c r="D7" s="8" t="str">
        <x:v>Referência no Excel</x:v>
      </x:c>
      <x:c r="E7" s="8" t="str">
        <x:v>Processo</x:v>
      </x:c>
      <x:c r="F7" s="8" t="str">
        <x:v>Obra identificada</x:v>
      </x:c>
      <x:c r="G7" s="8" t="str">
        <x:v>Resultado</x:v>
      </x:c>
      <x:c r="H7" s="8" t="str">
        <x:v>Linha Excel</x:v>
      </x:c>
      <x:c r="I7" s="8" t="str">
        <x:v>Observações</x:v>
      </x:c>
    </x:row>
    <x:row r="8" ht="32" customHeight="1">
      <x:c r="A8" s="9" t="d">
        <x:v>2026-08-22T00:00:00.000Z</x:v>
      </x:c>
      <x:c r="B8" s="2" t="str">
        <x:v>BC4</x:v>
      </x:c>
      <x:c r="C8" s="11" t="str">
        <x:v>304</x:v>
      </x:c>
      <x:c r="D8" s="10" t="str">
        <x:v>FR2090_SCI MANON</x:v>
      </x:c>
      <x:c r="E8" s="12" t="str">
        <x:v>HS2090</x:v>
      </x:c>
      <x:c r="F8" s="10" t="str">
        <x:v>SCI MANON — REALISATION BAT D &amp; EXT_TOULOUSE</x:v>
      </x:c>
      <x:c r="G8" s="2" t="str">
        <x:v>Importado</x:v>
      </x:c>
      <x:c r="H8" s="2" t="n">
        <x:v>15</x:v>
      </x:c>
      <x:c r="I8" s="10" t="str"/>
    </x:row>
    <x:row r="9" ht="32" customHeight="1">
      <x:c r="A9" s="9" t="d">
        <x:v>2026-08-22T00:00:00.000Z</x:v>
      </x:c>
      <x:c r="B9" s="2" t="str">
        <x:v>BC5</x:v>
      </x:c>
      <x:c r="C9" s="11" t="str">
        <x:v>305</x:v>
      </x:c>
      <x:c r="D9" s="10" t="str">
        <x:v>FR1970_Plat logistique SEGRO</x:v>
      </x:c>
      <x:c r="E9" s="12" t="str">
        <x:v>HS1970</x:v>
      </x:c>
      <x:c r="F9" s="10" t="str">
        <x:v>QUARTUS LOGISTIQUE — Plat logistique SEGRO_ Ferrières</x:v>
      </x:c>
      <x:c r="G9" s="2" t="str">
        <x:v>Importado</x:v>
      </x:c>
      <x:c r="H9" s="2" t="n">
        <x:v>15</x:v>
      </x:c>
      <x:c r="I9" s="10" t="str"/>
    </x:row>
    <x:row r="10" ht="32" customHeight="1">
      <x:c r="A10" s="9" t="d">
        <x:v>2026-08-24T00:00:00.000Z</x:v>
      </x:c>
      <x:c r="B10" s="2" t="str">
        <x:v>BC1</x:v>
      </x:c>
      <x:c r="C10" s="11" t="str">
        <x:v>301</x:v>
      </x:c>
      <x:c r="D10" s="10" t="str">
        <x:v>FR2053_ARGAN_TOURNAN EN BRIE</x:v>
      </x:c>
      <x:c r="E10" s="12" t="str">
        <x:v>HS2053</x:v>
      </x:c>
      <x:c r="F10" s="10" t="str">
        <x:v>SAS IDEC — FR | ARGAN_TOURNAN EN BRIE</x:v>
      </x:c>
      <x:c r="G10" s="2" t="str">
        <x:v>Importado</x:v>
      </x:c>
      <x:c r="H10" s="2" t="n">
        <x:v>17</x:v>
      </x:c>
      <x:c r="I10" s="10" t="str"/>
    </x:row>
    <x:row r="11" ht="32" customHeight="1">
      <x:c r="A11" s="9" t="d">
        <x:v>2026-08-24T00:00:00.000Z</x:v>
      </x:c>
      <x:c r="B11" s="2" t="str">
        <x:v>BC2</x:v>
      </x:c>
      <x:c r="C11" s="11" t="str">
        <x:v>302</x:v>
      </x:c>
      <x:c r="D11" s="10" t="str">
        <x:v>FR1970_Plat logistique SEGRO</x:v>
      </x:c>
      <x:c r="E11" s="12" t="str">
        <x:v>HS1970</x:v>
      </x:c>
      <x:c r="F11" s="10" t="str">
        <x:v>QUARTUS LOGISTIQUE — Plat logistique SEGRO_ Ferrières</x:v>
      </x:c>
      <x:c r="G11" s="2" t="str">
        <x:v>Importado</x:v>
      </x:c>
      <x:c r="H11" s="2" t="n">
        <x:v>17</x:v>
      </x:c>
      <x:c r="I11" s="10" t="str"/>
    </x:row>
    <x:row r="12" ht="32" customHeight="1">
      <x:c r="A12" s="9" t="d">
        <x:v>2026-08-24T00:00:00.000Z</x:v>
      </x:c>
      <x:c r="B12" s="2" t="str">
        <x:v>BC3</x:v>
      </x:c>
      <x:c r="C12" s="11" t="str">
        <x:v>303</x:v>
      </x:c>
      <x:c r="D12" s="10" t="str">
        <x:v>FR2035_AXDEV ADPARK_Croissy</x:v>
      </x:c>
      <x:c r="E12" s="12" t="str">
        <x:v>HS2035</x:v>
      </x:c>
      <x:c r="F12" s="10" t="str">
        <x:v>GSE — FR | AXDEV ADPARK_Croissy-Beaubourg</x:v>
      </x:c>
      <x:c r="G12" s="2" t="str">
        <x:v>Importado</x:v>
      </x:c>
      <x:c r="H12" s="2" t="n">
        <x:v>17</x:v>
      </x:c>
      <x:c r="I12" s="10" t="str"/>
    </x:row>
    <x:row r="13" ht="32" customHeight="1">
      <x:c r="A13" s="9" t="d">
        <x:v>2026-08-24T00:00:00.000Z</x:v>
      </x:c>
      <x:c r="B13" s="2" t="str">
        <x:v>BC4</x:v>
      </x:c>
      <x:c r="C13" s="11" t="str">
        <x:v>304</x:v>
      </x:c>
      <x:c r="D13" s="10" t="str">
        <x:v>FR2090_SCI MANON</x:v>
      </x:c>
      <x:c r="E13" s="12" t="str">
        <x:v>HS2090</x:v>
      </x:c>
      <x:c r="F13" s="10" t="str">
        <x:v>SCI MANON — REALISATION BAT D &amp; EXT_TOULOUSE</x:v>
      </x:c>
      <x:c r="G13" s="2" t="str">
        <x:v>Importado</x:v>
      </x:c>
      <x:c r="H13" s="2" t="n">
        <x:v>17</x:v>
      </x:c>
      <x:c r="I13" s="10" t="str"/>
    </x:row>
    <x:row r="14" ht="32" customHeight="1">
      <x:c r="A14" s="9" t="d">
        <x:v>2026-08-24T00:00:00.000Z</x:v>
      </x:c>
      <x:c r="B14" s="2" t="str">
        <x:v>BC5</x:v>
      </x:c>
      <x:c r="C14" s="11" t="str">
        <x:v>305</x:v>
      </x:c>
      <x:c r="D14" s="10" t="str">
        <x:v>FR1970_Plat logistique SEGRO</x:v>
      </x:c>
      <x:c r="E14" s="12" t="str">
        <x:v>HS1970</x:v>
      </x:c>
      <x:c r="F14" s="10" t="str">
        <x:v>QUARTUS LOGISTIQUE — Plat logistique SEGRO_ Ferrières</x:v>
      </x:c>
      <x:c r="G14" s="2" t="str">
        <x:v>Importado</x:v>
      </x:c>
      <x:c r="H14" s="2" t="n">
        <x:v>17</x:v>
      </x:c>
      <x:c r="I14" s="10" t="str"/>
    </x:row>
    <x:row r="15" ht="32" customHeight="1">
      <x:c r="A15" s="9" t="d">
        <x:v>2026-08-24T00:00:00.000Z</x:v>
      </x:c>
      <x:c r="B15" s="2" t="str">
        <x:v>BC6 Ferro</x:v>
      </x:c>
      <x:c r="C15" s="11" t="str">
        <x:v>306</x:v>
      </x:c>
      <x:c r="D15" s="10" t="str">
        <x:v>Nancy intersol</x:v>
      </x:c>
      <x:c r="E15" s="12" t="str"/>
      <x:c r="F15" s="10" t="str"/>
      <x:c r="G15" s="2" t="str">
        <x:v>Não importado</x:v>
      </x:c>
      <x:c r="H15" s="2" t="n">
        <x:v>17</x:v>
      </x:c>
      <x:c r="I15" s="10" t="str">
        <x:v>HS2092 é a proposta principal; nome genérico. Confirmar se é a mesma obra de parking intersol nancy.</x:v>
      </x:c>
    </x:row>
    <x:row r="16" ht="32" customHeight="1">
      <x:c r="A16" s="9" t="d">
        <x:v>2026-08-24T00:00:00.000Z</x:v>
      </x:c>
      <x:c r="B16" s="2" t="str">
        <x:v>BC7 Ferro</x:v>
      </x:c>
      <x:c r="C16" s="11" t="str">
        <x:v>307</x:v>
      </x:c>
      <x:c r="D16" s="10" t="str">
        <x:v>faubourg promotion</x:v>
      </x:c>
      <x:c r="E16" s="12" t="str"/>
      <x:c r="F16" s="10" t="str"/>
      <x:c r="G16" s="2" t="str">
        <x:v>Não importado</x:v>
      </x:c>
      <x:c r="H16" s="2" t="n">
        <x:v>17</x:v>
      </x:c>
      <x:c r="I16" s="10" t="str">
        <x:v>HS1600 partilha Faubourg, mas refere uma obra de 2024 em Gambsheim. Correspondência por confirmar.</x:v>
      </x:c>
    </x:row>
    <x:row r="17" ht="32" customHeight="1">
      <x:c r="A17" s="9" t="d">
        <x:v>2026-08-25T00:00:00.000Z</x:v>
      </x:c>
      <x:c r="B17" s="2" t="str">
        <x:v>BC1</x:v>
      </x:c>
      <x:c r="C17" s="11" t="str">
        <x:v>301</x:v>
      </x:c>
      <x:c r="D17" s="10" t="str">
        <x:v>FR2053_ARGAN_TOURNAN EN BRIE</x:v>
      </x:c>
      <x:c r="E17" s="12" t="str">
        <x:v>HS2053</x:v>
      </x:c>
      <x:c r="F17" s="10" t="str">
        <x:v>SAS IDEC — FR | ARGAN_TOURNAN EN BRIE</x:v>
      </x:c>
      <x:c r="G17" s="2" t="str">
        <x:v>Importado</x:v>
      </x:c>
      <x:c r="H17" s="2" t="n">
        <x:v>18</x:v>
      </x:c>
      <x:c r="I17" s="10" t="str"/>
    </x:row>
    <x:row r="18" ht="32" customHeight="1">
      <x:c r="A18" s="9" t="d">
        <x:v>2026-08-25T00:00:00.000Z</x:v>
      </x:c>
      <x:c r="B18" s="2" t="str">
        <x:v>BC2</x:v>
      </x:c>
      <x:c r="C18" s="11" t="str">
        <x:v>302</x:v>
      </x:c>
      <x:c r="D18" s="10" t="str">
        <x:v>FR1970_Plat logistique SEGRO</x:v>
      </x:c>
      <x:c r="E18" s="12" t="str">
        <x:v>HS1970</x:v>
      </x:c>
      <x:c r="F18" s="10" t="str">
        <x:v>QUARTUS LOGISTIQUE — Plat logistique SEGRO_ Ferrières</x:v>
      </x:c>
      <x:c r="G18" s="2" t="str">
        <x:v>Importado</x:v>
      </x:c>
      <x:c r="H18" s="2" t="n">
        <x:v>18</x:v>
      </x:c>
      <x:c r="I18" s="10" t="str"/>
    </x:row>
    <x:row r="19" ht="32" customHeight="1">
      <x:c r="A19" s="9" t="d">
        <x:v>2026-08-25T00:00:00.000Z</x:v>
      </x:c>
      <x:c r="B19" s="2" t="str">
        <x:v>BC3</x:v>
      </x:c>
      <x:c r="C19" s="11" t="str">
        <x:v>303</x:v>
      </x:c>
      <x:c r="D19" s="10" t="str">
        <x:v>FR2035_AXDEV ADPARK_Croissy</x:v>
      </x:c>
      <x:c r="E19" s="12" t="str">
        <x:v>HS2035</x:v>
      </x:c>
      <x:c r="F19" s="10" t="str">
        <x:v>GSE — FR | AXDEV ADPARK_Croissy-Beaubourg</x:v>
      </x:c>
      <x:c r="G19" s="2" t="str">
        <x:v>Importado</x:v>
      </x:c>
      <x:c r="H19" s="2" t="n">
        <x:v>18</x:v>
      </x:c>
      <x:c r="I19" s="10" t="str"/>
    </x:row>
    <x:row r="20" ht="32" customHeight="1">
      <x:c r="A20" s="9" t="d">
        <x:v>2026-08-25T00:00:00.000Z</x:v>
      </x:c>
      <x:c r="B20" s="2" t="str">
        <x:v>BC4</x:v>
      </x:c>
      <x:c r="C20" s="11" t="str">
        <x:v>304</x:v>
      </x:c>
      <x:c r="D20" s="10" t="str">
        <x:v>FR2090_SCI MANON</x:v>
      </x:c>
      <x:c r="E20" s="12" t="str">
        <x:v>HS2090</x:v>
      </x:c>
      <x:c r="F20" s="10" t="str">
        <x:v>SCI MANON — REALISATION BAT D &amp; EXT_TOULOUSE</x:v>
      </x:c>
      <x:c r="G20" s="2" t="str">
        <x:v>Importado</x:v>
      </x:c>
      <x:c r="H20" s="2" t="n">
        <x:v>18</x:v>
      </x:c>
      <x:c r="I20" s="10" t="str"/>
    </x:row>
    <x:row r="21" ht="32" customHeight="1">
      <x:c r="A21" s="9" t="d">
        <x:v>2026-08-25T00:00:00.000Z</x:v>
      </x:c>
      <x:c r="B21" s="2" t="str">
        <x:v>BC5</x:v>
      </x:c>
      <x:c r="C21" s="11" t="str">
        <x:v>305</x:v>
      </x:c>
      <x:c r="D21" s="10" t="str">
        <x:v>FR1970_Plat logistique SEGRO</x:v>
      </x:c>
      <x:c r="E21" s="12" t="str">
        <x:v>HS1970</x:v>
      </x:c>
      <x:c r="F21" s="10" t="str">
        <x:v>QUARTUS LOGISTIQUE — Plat logistique SEGRO_ Ferrières</x:v>
      </x:c>
      <x:c r="G21" s="2" t="str">
        <x:v>Importado</x:v>
      </x:c>
      <x:c r="H21" s="2" t="n">
        <x:v>18</x:v>
      </x:c>
      <x:c r="I21" s="10" t="str"/>
    </x:row>
    <x:row r="22" ht="32" customHeight="1">
      <x:c r="A22" s="9" t="d">
        <x:v>2026-08-25T00:00:00.000Z</x:v>
      </x:c>
      <x:c r="B22" s="2" t="str">
        <x:v>BC6 Ferro</x:v>
      </x:c>
      <x:c r="C22" s="11" t="str">
        <x:v>306</x:v>
      </x:c>
      <x:c r="D22" s="10" t="str">
        <x:v>Nancy intersol</x:v>
      </x:c>
      <x:c r="E22" s="12" t="str"/>
      <x:c r="F22" s="10" t="str"/>
      <x:c r="G22" s="2" t="str">
        <x:v>Não importado</x:v>
      </x:c>
      <x:c r="H22" s="2" t="n">
        <x:v>18</x:v>
      </x:c>
      <x:c r="I22" s="10" t="str">
        <x:v>HS2092 é a proposta principal; nome genérico. Confirmar se é a mesma obra de parking intersol nancy.</x:v>
      </x:c>
    </x:row>
    <x:row r="23" ht="32" customHeight="1">
      <x:c r="A23" s="9" t="d">
        <x:v>2026-08-25T00:00:00.000Z</x:v>
      </x:c>
      <x:c r="B23" s="2" t="str">
        <x:v>BC7 Ferro</x:v>
      </x:c>
      <x:c r="C23" s="11" t="str">
        <x:v>307</x:v>
      </x:c>
      <x:c r="D23" s="10" t="str">
        <x:v>faubourg promotion</x:v>
      </x:c>
      <x:c r="E23" s="12" t="str"/>
      <x:c r="F23" s="10" t="str"/>
      <x:c r="G23" s="2" t="str">
        <x:v>Não importado</x:v>
      </x:c>
      <x:c r="H23" s="2" t="n">
        <x:v>18</x:v>
      </x:c>
      <x:c r="I23" s="10" t="str">
        <x:v>HS1600 partilha Faubourg, mas refere uma obra de 2024 em Gambsheim. Correspondência por confirmar.</x:v>
      </x:c>
    </x:row>
    <x:row r="24" ht="32" customHeight="1">
      <x:c r="A24" s="9" t="d">
        <x:v>2026-08-26T00:00:00.000Z</x:v>
      </x:c>
      <x:c r="B24" s="2" t="str">
        <x:v>BC1</x:v>
      </x:c>
      <x:c r="C24" s="11" t="str">
        <x:v>301</x:v>
      </x:c>
      <x:c r="D24" s="10" t="str">
        <x:v>FR2053_ARGAN_TOURNAN EN BRIE</x:v>
      </x:c>
      <x:c r="E24" s="12" t="str">
        <x:v>HS2053</x:v>
      </x:c>
      <x:c r="F24" s="10" t="str">
        <x:v>SAS IDEC — FR | ARGAN_TOURNAN EN BRIE</x:v>
      </x:c>
      <x:c r="G24" s="2" t="str">
        <x:v>Importado</x:v>
      </x:c>
      <x:c r="H24" s="2" t="n">
        <x:v>19</x:v>
      </x:c>
      <x:c r="I24" s="10" t="str"/>
    </x:row>
    <x:row r="25" ht="32" customHeight="1">
      <x:c r="A25" s="9" t="d">
        <x:v>2026-08-26T00:00:00.000Z</x:v>
      </x:c>
      <x:c r="B25" s="2" t="str">
        <x:v>BC2</x:v>
      </x:c>
      <x:c r="C25" s="11" t="str">
        <x:v>302</x:v>
      </x:c>
      <x:c r="D25" s="10" t="str">
        <x:v>FR1970_Plat logistique SEGRO</x:v>
      </x:c>
      <x:c r="E25" s="12" t="str">
        <x:v>HS1970</x:v>
      </x:c>
      <x:c r="F25" s="10" t="str">
        <x:v>QUARTUS LOGISTIQUE — Plat logistique SEGRO_ Ferrières</x:v>
      </x:c>
      <x:c r="G25" s="2" t="str">
        <x:v>Importado</x:v>
      </x:c>
      <x:c r="H25" s="2" t="n">
        <x:v>19</x:v>
      </x:c>
      <x:c r="I25" s="10" t="str"/>
    </x:row>
    <x:row r="26" ht="32" customHeight="1">
      <x:c r="A26" s="9" t="d">
        <x:v>2026-08-26T00:00:00.000Z</x:v>
      </x:c>
      <x:c r="B26" s="2" t="str">
        <x:v>BC3</x:v>
      </x:c>
      <x:c r="C26" s="11" t="str">
        <x:v>303</x:v>
      </x:c>
      <x:c r="D26" s="10" t="str">
        <x:v>FR2035_AXDEV ADPARK_Croissy</x:v>
      </x:c>
      <x:c r="E26" s="12" t="str">
        <x:v>HS2035</x:v>
      </x:c>
      <x:c r="F26" s="10" t="str">
        <x:v>GSE — FR | AXDEV ADPARK_Croissy-Beaubourg</x:v>
      </x:c>
      <x:c r="G26" s="2" t="str">
        <x:v>Importado</x:v>
      </x:c>
      <x:c r="H26" s="2" t="n">
        <x:v>19</x:v>
      </x:c>
      <x:c r="I26" s="10" t="str"/>
    </x:row>
    <x:row r="27" ht="32" customHeight="1">
      <x:c r="A27" s="9" t="d">
        <x:v>2026-08-26T00:00:00.000Z</x:v>
      </x:c>
      <x:c r="B27" s="2" t="str">
        <x:v>BC4</x:v>
      </x:c>
      <x:c r="C27" s="11" t="str">
        <x:v>304</x:v>
      </x:c>
      <x:c r="D27" s="10" t="str">
        <x:v>FR2090_SCI MANON</x:v>
      </x:c>
      <x:c r="E27" s="12" t="str">
        <x:v>HS2090</x:v>
      </x:c>
      <x:c r="F27" s="10" t="str">
        <x:v>SCI MANON — REALISATION BAT D &amp; EXT_TOULOUSE</x:v>
      </x:c>
      <x:c r="G27" s="2" t="str">
        <x:v>Importado</x:v>
      </x:c>
      <x:c r="H27" s="2" t="n">
        <x:v>19</x:v>
      </x:c>
      <x:c r="I27" s="10" t="str"/>
    </x:row>
    <x:row r="28" ht="32" customHeight="1">
      <x:c r="A28" s="9" t="d">
        <x:v>2026-08-26T00:00:00.000Z</x:v>
      </x:c>
      <x:c r="B28" s="2" t="str">
        <x:v>BC5</x:v>
      </x:c>
      <x:c r="C28" s="11" t="str">
        <x:v>305</x:v>
      </x:c>
      <x:c r="D28" s="10" t="str">
        <x:v>FR1970_Plat logistique SEGRO</x:v>
      </x:c>
      <x:c r="E28" s="12" t="str">
        <x:v>HS1970</x:v>
      </x:c>
      <x:c r="F28" s="10" t="str">
        <x:v>QUARTUS LOGISTIQUE — Plat logistique SEGRO_ Ferrières</x:v>
      </x:c>
      <x:c r="G28" s="2" t="str">
        <x:v>Importado</x:v>
      </x:c>
      <x:c r="H28" s="2" t="n">
        <x:v>19</x:v>
      </x:c>
      <x:c r="I28" s="10" t="str"/>
    </x:row>
    <x:row r="29" ht="32" customHeight="1">
      <x:c r="A29" s="9" t="d">
        <x:v>2026-08-26T00:00:00.000Z</x:v>
      </x:c>
      <x:c r="B29" s="2" t="str">
        <x:v>BC6 Ferro</x:v>
      </x:c>
      <x:c r="C29" s="11" t="str">
        <x:v>306</x:v>
      </x:c>
      <x:c r="D29" s="10" t="str">
        <x:v>Nancy intersol</x:v>
      </x:c>
      <x:c r="E29" s="12" t="str"/>
      <x:c r="F29" s="10" t="str"/>
      <x:c r="G29" s="2" t="str">
        <x:v>Não importado</x:v>
      </x:c>
      <x:c r="H29" s="2" t="n">
        <x:v>19</x:v>
      </x:c>
      <x:c r="I29" s="10" t="str">
        <x:v>HS2092 é a proposta principal; nome genérico. Confirmar se é a mesma obra de parking intersol nancy.</x:v>
      </x:c>
    </x:row>
    <x:row r="30" ht="32" customHeight="1">
      <x:c r="A30" s="9" t="d">
        <x:v>2026-08-26T00:00:00.000Z</x:v>
      </x:c>
      <x:c r="B30" s="2" t="str">
        <x:v>BC7 Ferro</x:v>
      </x:c>
      <x:c r="C30" s="11" t="str">
        <x:v>307</x:v>
      </x:c>
      <x:c r="D30" s="10" t="str">
        <x:v>faubourg promotion</x:v>
      </x:c>
      <x:c r="E30" s="12" t="str"/>
      <x:c r="F30" s="10" t="str"/>
      <x:c r="G30" s="2" t="str">
        <x:v>Não importado</x:v>
      </x:c>
      <x:c r="H30" s="2" t="n">
        <x:v>19</x:v>
      </x:c>
      <x:c r="I30" s="10" t="str">
        <x:v>HS1600 partilha Faubourg, mas refere uma obra de 2024 em Gambsheim. Correspondência por confirmar.</x:v>
      </x:c>
    </x:row>
    <x:row r="31" ht="32" customHeight="1">
      <x:c r="A31" s="9" t="d">
        <x:v>2026-08-27T00:00:00.000Z</x:v>
      </x:c>
      <x:c r="B31" s="2" t="str">
        <x:v>BC1</x:v>
      </x:c>
      <x:c r="C31" s="11" t="str">
        <x:v>301</x:v>
      </x:c>
      <x:c r="D31" s="10" t="str">
        <x:v>FR2053_ARGAN_TOURNAN EN BRIE</x:v>
      </x:c>
      <x:c r="E31" s="12" t="str">
        <x:v>HS2053</x:v>
      </x:c>
      <x:c r="F31" s="10" t="str">
        <x:v>SAS IDEC — FR | ARGAN_TOURNAN EN BRIE</x:v>
      </x:c>
      <x:c r="G31" s="2" t="str">
        <x:v>Importado</x:v>
      </x:c>
      <x:c r="H31" s="2" t="n">
        <x:v>20</x:v>
      </x:c>
      <x:c r="I31" s="10" t="str"/>
    </x:row>
    <x:row r="32" ht="32" customHeight="1">
      <x:c r="A32" s="9" t="d">
        <x:v>2026-08-27T00:00:00.000Z</x:v>
      </x:c>
      <x:c r="B32" s="2" t="str">
        <x:v>BC2</x:v>
      </x:c>
      <x:c r="C32" s="11" t="str">
        <x:v>302</x:v>
      </x:c>
      <x:c r="D32" s="10" t="str">
        <x:v>FR1970_Plat logistique SEGRO</x:v>
      </x:c>
      <x:c r="E32" s="12" t="str">
        <x:v>HS1970</x:v>
      </x:c>
      <x:c r="F32" s="10" t="str">
        <x:v>QUARTUS LOGISTIQUE — Plat logistique SEGRO_ Ferrières</x:v>
      </x:c>
      <x:c r="G32" s="2" t="str">
        <x:v>Importado</x:v>
      </x:c>
      <x:c r="H32" s="2" t="n">
        <x:v>20</x:v>
      </x:c>
      <x:c r="I32" s="10" t="str"/>
    </x:row>
    <x:row r="33" ht="32" customHeight="1">
      <x:c r="A33" s="9" t="d">
        <x:v>2026-08-27T00:00:00.000Z</x:v>
      </x:c>
      <x:c r="B33" s="2" t="str">
        <x:v>BC3</x:v>
      </x:c>
      <x:c r="C33" s="11" t="str">
        <x:v>303</x:v>
      </x:c>
      <x:c r="D33" s="10" t="str">
        <x:v>FR2035_AXDEV ADPARK_Croissy</x:v>
      </x:c>
      <x:c r="E33" s="12" t="str">
        <x:v>HS2035</x:v>
      </x:c>
      <x:c r="F33" s="10" t="str">
        <x:v>GSE — FR | AXDEV ADPARK_Croissy-Beaubourg</x:v>
      </x:c>
      <x:c r="G33" s="2" t="str">
        <x:v>Importado</x:v>
      </x:c>
      <x:c r="H33" s="2" t="n">
        <x:v>20</x:v>
      </x:c>
      <x:c r="I33" s="10" t="str"/>
    </x:row>
    <x:row r="34" ht="32" customHeight="1">
      <x:c r="A34" s="9" t="d">
        <x:v>2026-08-27T00:00:00.000Z</x:v>
      </x:c>
      <x:c r="B34" s="2" t="str">
        <x:v>BC4</x:v>
      </x:c>
      <x:c r="C34" s="11" t="str">
        <x:v>304</x:v>
      </x:c>
      <x:c r="D34" s="10" t="str">
        <x:v>FR2090_SCI MANON</x:v>
      </x:c>
      <x:c r="E34" s="12" t="str">
        <x:v>HS2090</x:v>
      </x:c>
      <x:c r="F34" s="10" t="str">
        <x:v>SCI MANON — REALISATION BAT D &amp; EXT_TOULOUSE</x:v>
      </x:c>
      <x:c r="G34" s="2" t="str">
        <x:v>Importado</x:v>
      </x:c>
      <x:c r="H34" s="2" t="n">
        <x:v>20</x:v>
      </x:c>
      <x:c r="I34" s="10" t="str"/>
    </x:row>
    <x:row r="35" ht="32" customHeight="1">
      <x:c r="A35" s="9" t="d">
        <x:v>2026-08-27T00:00:00.000Z</x:v>
      </x:c>
      <x:c r="B35" s="2" t="str">
        <x:v>BC5</x:v>
      </x:c>
      <x:c r="C35" s="11" t="str">
        <x:v>305</x:v>
      </x:c>
      <x:c r="D35" s="10" t="str">
        <x:v>FR1970_Plat logistique SEGRO</x:v>
      </x:c>
      <x:c r="E35" s="12" t="str">
        <x:v>HS1970</x:v>
      </x:c>
      <x:c r="F35" s="10" t="str">
        <x:v>QUARTUS LOGISTIQUE — Plat logistique SEGRO_ Ferrières</x:v>
      </x:c>
      <x:c r="G35" s="2" t="str">
        <x:v>Importado</x:v>
      </x:c>
      <x:c r="H35" s="2" t="n">
        <x:v>20</x:v>
      </x:c>
      <x:c r="I35" s="10" t="str"/>
    </x:row>
    <x:row r="36" ht="32" customHeight="1">
      <x:c r="A36" s="9" t="d">
        <x:v>2026-08-27T00:00:00.000Z</x:v>
      </x:c>
      <x:c r="B36" s="2" t="str">
        <x:v>BC6 Ferro</x:v>
      </x:c>
      <x:c r="C36" s="11" t="str">
        <x:v>306</x:v>
      </x:c>
      <x:c r="D36" s="10" t="str">
        <x:v>FR2056_VIRTUO  BEZONS</x:v>
      </x:c>
      <x:c r="E36" s="12" t="str">
        <x:v>HS2056</x:v>
      </x:c>
      <x:c r="F36" s="10" t="str">
        <x:v>GSE — FR | VIRTUO | BEZONS</x:v>
      </x:c>
      <x:c r="G36" s="2" t="str">
        <x:v>Importado</x:v>
      </x:c>
      <x:c r="H36" s="2" t="n">
        <x:v>20</x:v>
      </x:c>
      <x:c r="I36" s="10" t="str"/>
    </x:row>
    <x:row r="37" ht="32" customHeight="1">
      <x:c r="A37" s="9" t="d">
        <x:v>2026-08-27T00:00:00.000Z</x:v>
      </x:c>
      <x:c r="B37" s="2" t="str">
        <x:v>BC7 Ferro</x:v>
      </x:c>
      <x:c r="C37" s="11" t="str">
        <x:v>307</x:v>
      </x:c>
      <x:c r="D37" s="10" t="str">
        <x:v>faubourg promotion</x:v>
      </x:c>
      <x:c r="E37" s="12" t="str"/>
      <x:c r="F37" s="10" t="str"/>
      <x:c r="G37" s="2" t="str">
        <x:v>Não importado</x:v>
      </x:c>
      <x:c r="H37" s="2" t="n">
        <x:v>20</x:v>
      </x:c>
      <x:c r="I37" s="10" t="str">
        <x:v>HS1600 partilha Faubourg, mas refere uma obra de 2024 em Gambsheim. Correspondência por confirmar.</x:v>
      </x:c>
    </x:row>
    <x:row r="38" ht="32" customHeight="1">
      <x:c r="A38" s="9" t="d">
        <x:v>2026-08-28T00:00:00.000Z</x:v>
      </x:c>
      <x:c r="B38" s="2" t="str">
        <x:v>BC1</x:v>
      </x:c>
      <x:c r="C38" s="11" t="str">
        <x:v>301</x:v>
      </x:c>
      <x:c r="D38" s="10" t="str">
        <x:v>FR2053_ARGAN_TOURNAN EN BRIE</x:v>
      </x:c>
      <x:c r="E38" s="12" t="str">
        <x:v>HS2053</x:v>
      </x:c>
      <x:c r="F38" s="10" t="str">
        <x:v>SAS IDEC — FR | ARGAN_TOURNAN EN BRIE</x:v>
      </x:c>
      <x:c r="G38" s="2" t="str">
        <x:v>Importado</x:v>
      </x:c>
      <x:c r="H38" s="2" t="n">
        <x:v>21</x:v>
      </x:c>
      <x:c r="I38" s="10" t="str"/>
    </x:row>
    <x:row r="39" ht="32" customHeight="1">
      <x:c r="A39" s="9" t="d">
        <x:v>2026-08-28T00:00:00.000Z</x:v>
      </x:c>
      <x:c r="B39" s="2" t="str">
        <x:v>BC2</x:v>
      </x:c>
      <x:c r="C39" s="11" t="str">
        <x:v>302</x:v>
      </x:c>
      <x:c r="D39" s="10" t="str">
        <x:v>FR1970_Plat logistique SEGRO</x:v>
      </x:c>
      <x:c r="E39" s="12" t="str">
        <x:v>HS1970</x:v>
      </x:c>
      <x:c r="F39" s="10" t="str">
        <x:v>QUARTUS LOGISTIQUE — Plat logistique SEGRO_ Ferrières</x:v>
      </x:c>
      <x:c r="G39" s="2" t="str">
        <x:v>Importado</x:v>
      </x:c>
      <x:c r="H39" s="2" t="n">
        <x:v>21</x:v>
      </x:c>
      <x:c r="I39" s="10" t="str"/>
    </x:row>
    <x:row r="40" ht="32" customHeight="1">
      <x:c r="A40" s="9" t="d">
        <x:v>2026-08-28T00:00:00.000Z</x:v>
      </x:c>
      <x:c r="B40" s="2" t="str">
        <x:v>BC3</x:v>
      </x:c>
      <x:c r="C40" s="11" t="str">
        <x:v>303</x:v>
      </x:c>
      <x:c r="D40" s="10" t="str">
        <x:v>FR2035_AXDEV ADPARK_Croissy</x:v>
      </x:c>
      <x:c r="E40" s="12" t="str">
        <x:v>HS2035</x:v>
      </x:c>
      <x:c r="F40" s="10" t="str">
        <x:v>GSE — FR | AXDEV ADPARK_Croissy-Beaubourg</x:v>
      </x:c>
      <x:c r="G40" s="2" t="str">
        <x:v>Importado</x:v>
      </x:c>
      <x:c r="H40" s="2" t="n">
        <x:v>21</x:v>
      </x:c>
      <x:c r="I40" s="10" t="str"/>
    </x:row>
    <x:row r="41" ht="32" customHeight="1">
      <x:c r="A41" s="9" t="d">
        <x:v>2026-08-28T00:00:00.000Z</x:v>
      </x:c>
      <x:c r="B41" s="2" t="str">
        <x:v>BC4</x:v>
      </x:c>
      <x:c r="C41" s="11" t="str">
        <x:v>304</x:v>
      </x:c>
      <x:c r="D41" s="10" t="str">
        <x:v>FR2090_SCI MANON</x:v>
      </x:c>
      <x:c r="E41" s="12" t="str">
        <x:v>HS2090</x:v>
      </x:c>
      <x:c r="F41" s="10" t="str">
        <x:v>SCI MANON — REALISATION BAT D &amp; EXT_TOULOUSE</x:v>
      </x:c>
      <x:c r="G41" s="2" t="str">
        <x:v>Importado</x:v>
      </x:c>
      <x:c r="H41" s="2" t="n">
        <x:v>21</x:v>
      </x:c>
      <x:c r="I41" s="10" t="str"/>
    </x:row>
    <x:row r="42" ht="32" customHeight="1">
      <x:c r="A42" s="9" t="d">
        <x:v>2026-08-28T00:00:00.000Z</x:v>
      </x:c>
      <x:c r="B42" s="2" t="str">
        <x:v>BC5</x:v>
      </x:c>
      <x:c r="C42" s="11" t="str">
        <x:v>305</x:v>
      </x:c>
      <x:c r="D42" s="10" t="str">
        <x:v>FR1970_Plat logistique SEGRO</x:v>
      </x:c>
      <x:c r="E42" s="12" t="str">
        <x:v>HS1970</x:v>
      </x:c>
      <x:c r="F42" s="10" t="str">
        <x:v>QUARTUS LOGISTIQUE — Plat logistique SEGRO_ Ferrières</x:v>
      </x:c>
      <x:c r="G42" s="2" t="str">
        <x:v>Importado</x:v>
      </x:c>
      <x:c r="H42" s="2" t="n">
        <x:v>21</x:v>
      </x:c>
      <x:c r="I42" s="10" t="str"/>
    </x:row>
    <x:row r="43" ht="32" customHeight="1">
      <x:c r="A43" s="9" t="d">
        <x:v>2026-08-28T00:00:00.000Z</x:v>
      </x:c>
      <x:c r="B43" s="2" t="str">
        <x:v>BC6 Ferro</x:v>
      </x:c>
      <x:c r="C43" s="11" t="str">
        <x:v>306</x:v>
      </x:c>
      <x:c r="D43" s="10" t="str">
        <x:v>FR2056_VIRTUO  BEZONS</x:v>
      </x:c>
      <x:c r="E43" s="12" t="str">
        <x:v>HS2056</x:v>
      </x:c>
      <x:c r="F43" s="10" t="str">
        <x:v>GSE — FR | VIRTUO | BEZONS</x:v>
      </x:c>
      <x:c r="G43" s="2" t="str">
        <x:v>Importado</x:v>
      </x:c>
      <x:c r="H43" s="2" t="n">
        <x:v>21</x:v>
      </x:c>
      <x:c r="I43" s="10" t="str"/>
    </x:row>
    <x:row r="44" ht="32" customHeight="1">
      <x:c r="A44" s="9" t="d">
        <x:v>2026-08-28T00:00:00.000Z</x:v>
      </x:c>
      <x:c r="B44" s="2" t="str">
        <x:v>BC7 Ferro</x:v>
      </x:c>
      <x:c r="C44" s="11" t="str">
        <x:v>307</x:v>
      </x:c>
      <x:c r="D44" s="10" t="str">
        <x:v>FR2056_VIRTUO  BEZONS</x:v>
      </x:c>
      <x:c r="E44" s="12" t="str">
        <x:v>HS2056</x:v>
      </x:c>
      <x:c r="F44" s="10" t="str">
        <x:v>GSE — FR | VIRTUO | BEZONS</x:v>
      </x:c>
      <x:c r="G44" s="2" t="str">
        <x:v>Importado</x:v>
      </x:c>
      <x:c r="H44" s="2" t="n">
        <x:v>21</x:v>
      </x:c>
      <x:c r="I44" s="10" t="str"/>
    </x:row>
    <x:row r="45" ht="32" customHeight="1">
      <x:c r="A45" s="9" t="d">
        <x:v>2026-08-29T00:00:00.000Z</x:v>
      </x:c>
      <x:c r="B45" s="2" t="str">
        <x:v>BC2</x:v>
      </x:c>
      <x:c r="C45" s="11" t="str">
        <x:v>302</x:v>
      </x:c>
      <x:c r="D45" s="10" t="str">
        <x:v>FR1970_Plat logistique SEGRO</x:v>
      </x:c>
      <x:c r="E45" s="12" t="str">
        <x:v>HS1970</x:v>
      </x:c>
      <x:c r="F45" s="10" t="str">
        <x:v>QUARTUS LOGISTIQUE — Plat logistique SEGRO_ Ferrières</x:v>
      </x:c>
      <x:c r="G45" s="2" t="str">
        <x:v>Importado</x:v>
      </x:c>
      <x:c r="H45" s="2" t="n">
        <x:v>22</x:v>
      </x:c>
      <x:c r="I45" s="10" t="str"/>
    </x:row>
    <x:row r="46" ht="32" customHeight="1">
      <x:c r="A46" s="9" t="d">
        <x:v>2026-08-29T00:00:00.000Z</x:v>
      </x:c>
      <x:c r="B46" s="2" t="str">
        <x:v>BC3</x:v>
      </x:c>
      <x:c r="C46" s="11" t="str">
        <x:v>303</x:v>
      </x:c>
      <x:c r="D46" s="10" t="str">
        <x:v>FR2035_AXDEV ADPARK_Croissy</x:v>
      </x:c>
      <x:c r="E46" s="12" t="str">
        <x:v>HS2035</x:v>
      </x:c>
      <x:c r="F46" s="10" t="str">
        <x:v>GSE — FR | AXDEV ADPARK_Croissy-Beaubourg</x:v>
      </x:c>
      <x:c r="G46" s="2" t="str">
        <x:v>Importado</x:v>
      </x:c>
      <x:c r="H46" s="2" t="n">
        <x:v>22</x:v>
      </x:c>
      <x:c r="I46" s="10" t="str"/>
    </x:row>
    <x:row r="47" ht="32" customHeight="1">
      <x:c r="A47" s="9" t="d">
        <x:v>2026-08-29T00:00:00.000Z</x:v>
      </x:c>
      <x:c r="B47" s="2" t="str">
        <x:v>BC5</x:v>
      </x:c>
      <x:c r="C47" s="11" t="str">
        <x:v>305</x:v>
      </x:c>
      <x:c r="D47" s="10" t="str">
        <x:v>FR1970_Plat logistique SEGRO</x:v>
      </x:c>
      <x:c r="E47" s="12" t="str">
        <x:v>HS1970</x:v>
      </x:c>
      <x:c r="F47" s="10" t="str">
        <x:v>QUARTUS LOGISTIQUE — Plat logistique SEGRO_ Ferrières</x:v>
      </x:c>
      <x:c r="G47" s="2" t="str">
        <x:v>Importado</x:v>
      </x:c>
      <x:c r="H47" s="2" t="n">
        <x:v>22</x:v>
      </x:c>
      <x:c r="I47" s="10" t="str"/>
    </x:row>
    <x:row r="48" ht="48" customHeight="1">
      <x:c r="A48" s="9" t="d">
        <x:v>2026-08-31T00:00:00.000Z</x:v>
      </x:c>
      <x:c r="B48" s="2" t="str">
        <x:v>BC1</x:v>
      </x:c>
      <x:c r="C48" s="11" t="str">
        <x:v>301</x:v>
      </x:c>
      <x:c r="D48" s="10" t="str">
        <x:v>viagem Portugal - França</x:v>
      </x:c>
      <x:c r="E48" s="12" t="str"/>
      <x:c r="F48" s="10" t="str"/>
      <x:c r="G48" s="2" t="str">
        <x:v>Deslocação</x:v>
      </x:c>
      <x:c r="H48" s="2" t="n">
        <x:v>24</x:v>
      </x:c>
      <x:c r="I48" s="10" t="str">
        <x:v>Mais de uma referência para esta equipa no mesmo dia; manter associações distintas. Deslocação sem obra identificada; não criar associação a uma obra.</x:v>
      </x:c>
    </x:row>
    <x:row r="49" ht="32" customHeight="1">
      <x:c r="A49" s="9" t="d">
        <x:v>2026-08-31T00:00:00.000Z</x:v>
      </x:c>
      <x:c r="B49" s="2" t="str">
        <x:v>BC1</x:v>
      </x:c>
      <x:c r="C49" s="11" t="str">
        <x:v>301</x:v>
      </x:c>
      <x:c r="D49" s="10" t="str">
        <x:v>FR2053_ARGAN_TOURNAN EN BRIE</x:v>
      </x:c>
      <x:c r="E49" s="12" t="str">
        <x:v>HS2053</x:v>
      </x:c>
      <x:c r="F49" s="10" t="str">
        <x:v>SAS IDEC — FR | ARGAN_TOURNAN EN BRIE</x:v>
      </x:c>
      <x:c r="G49" s="2" t="str">
        <x:v>Importado</x:v>
      </x:c>
      <x:c r="H49" s="2" t="n">
        <x:v>25</x:v>
      </x:c>
      <x:c r="I49" s="10" t="str">
        <x:v>Mais de uma referência para esta equipa no mesmo dia; manter associações distintas.</x:v>
      </x:c>
    </x:row>
    <x:row r="50" ht="32" customHeight="1">
      <x:c r="A50" s="9" t="d">
        <x:v>2026-08-31T00:00:00.000Z</x:v>
      </x:c>
      <x:c r="B50" s="2" t="str">
        <x:v>BC2</x:v>
      </x:c>
      <x:c r="C50" s="11" t="str">
        <x:v>302</x:v>
      </x:c>
      <x:c r="D50" s="10" t="str">
        <x:v>FR1970_Plat logistique SEGRO</x:v>
      </x:c>
      <x:c r="E50" s="12" t="str">
        <x:v>HS1970</x:v>
      </x:c>
      <x:c r="F50" s="10" t="str">
        <x:v>QUARTUS LOGISTIQUE — Plat logistique SEGRO_ Ferrières</x:v>
      </x:c>
      <x:c r="G50" s="2" t="str">
        <x:v>Importado</x:v>
      </x:c>
      <x:c r="H50" s="2" t="n">
        <x:v>24</x:v>
      </x:c>
      <x:c r="I50" s="10" t="str"/>
    </x:row>
    <x:row r="51" ht="32" customHeight="1">
      <x:c r="A51" s="9" t="d">
        <x:v>2026-08-31T00:00:00.000Z</x:v>
      </x:c>
      <x:c r="B51" s="2" t="str">
        <x:v>BC3</x:v>
      </x:c>
      <x:c r="C51" s="11" t="str">
        <x:v>303</x:v>
      </x:c>
      <x:c r="D51" s="10" t="str">
        <x:v>FR2035_AXDEV ADPARK_Croissy</x:v>
      </x:c>
      <x:c r="E51" s="12" t="str">
        <x:v>HS2035</x:v>
      </x:c>
      <x:c r="F51" s="10" t="str">
        <x:v>GSE — FR | AXDEV ADPARK_Croissy-Beaubourg</x:v>
      </x:c>
      <x:c r="G51" s="2" t="str">
        <x:v>Importado</x:v>
      </x:c>
      <x:c r="H51" s="2" t="n">
        <x:v>24</x:v>
      </x:c>
      <x:c r="I51" s="10" t="str"/>
    </x:row>
    <x:row r="52" ht="32" customHeight="1">
      <x:c r="A52" s="9" t="d">
        <x:v>2026-08-31T00:00:00.000Z</x:v>
      </x:c>
      <x:c r="B52" s="2" t="str">
        <x:v>BC4</x:v>
      </x:c>
      <x:c r="C52" s="11" t="str">
        <x:v>304</x:v>
      </x:c>
      <x:c r="D52" s="10" t="str">
        <x:v>FR2090_SCI MANON</x:v>
      </x:c>
      <x:c r="E52" s="12" t="str">
        <x:v>HS2090</x:v>
      </x:c>
      <x:c r="F52" s="10" t="str">
        <x:v>SCI MANON — REALISATION BAT D &amp; EXT_TOULOUSE</x:v>
      </x:c>
      <x:c r="G52" s="2" t="str">
        <x:v>Importado</x:v>
      </x:c>
      <x:c r="H52" s="2" t="n">
        <x:v>24</x:v>
      </x:c>
      <x:c r="I52" s="10" t="str"/>
    </x:row>
    <x:row r="53" ht="32" customHeight="1">
      <x:c r="A53" s="9" t="d">
        <x:v>2026-08-31T00:00:00.000Z</x:v>
      </x:c>
      <x:c r="B53" s="2" t="str">
        <x:v>BC5</x:v>
      </x:c>
      <x:c r="C53" s="11" t="str">
        <x:v>305</x:v>
      </x:c>
      <x:c r="D53" s="10" t="str">
        <x:v>FR1970_Plat logistique SEGRO</x:v>
      </x:c>
      <x:c r="E53" s="12" t="str">
        <x:v>HS1970</x:v>
      </x:c>
      <x:c r="F53" s="10" t="str">
        <x:v>QUARTUS LOGISTIQUE — Plat logistique SEGRO_ Ferrières</x:v>
      </x:c>
      <x:c r="G53" s="2" t="str">
        <x:v>Importado</x:v>
      </x:c>
      <x:c r="H53" s="2" t="n">
        <x:v>24</x:v>
      </x:c>
      <x:c r="I53" s="10" t="str"/>
    </x:row>
    <x:row r="54" ht="32" customHeight="1">
      <x:c r="A54" s="9" t="d">
        <x:v>2026-08-31T00:00:00.000Z</x:v>
      </x:c>
      <x:c r="B54" s="2" t="str">
        <x:v>BC6 Ferro</x:v>
      </x:c>
      <x:c r="C54" s="11" t="str">
        <x:v>306</x:v>
      </x:c>
      <x:c r="D54" s="10" t="str">
        <x:v>FR2056_VIRTUO  BEZONS</x:v>
      </x:c>
      <x:c r="E54" s="12" t="str">
        <x:v>HS2056</x:v>
      </x:c>
      <x:c r="F54" s="10" t="str">
        <x:v>GSE — FR | VIRTUO | BEZONS</x:v>
      </x:c>
      <x:c r="G54" s="2" t="str">
        <x:v>Importado</x:v>
      </x:c>
      <x:c r="H54" s="2" t="n">
        <x:v>24</x:v>
      </x:c>
      <x:c r="I54" s="10" t="str"/>
    </x:row>
    <x:row r="55" ht="32" customHeight="1">
      <x:c r="A55" s="9" t="d">
        <x:v>2026-08-31T00:00:00.000Z</x:v>
      </x:c>
      <x:c r="B55" s="2" t="str">
        <x:v>BC7 Ferro</x:v>
      </x:c>
      <x:c r="C55" s="11" t="str">
        <x:v>307</x:v>
      </x:c>
      <x:c r="D55" s="10" t="str">
        <x:v>FR2056_VIRTUO  BEZONS</x:v>
      </x:c>
      <x:c r="E55" s="12" t="str">
        <x:v>HS2056</x:v>
      </x:c>
      <x:c r="F55" s="10" t="str">
        <x:v>GSE — FR | VIRTUO | BEZONS</x:v>
      </x:c>
      <x:c r="G55" s="2" t="str">
        <x:v>Importado</x:v>
      </x:c>
      <x:c r="H55" s="2" t="n">
        <x:v>24</x:v>
      </x:c>
      <x:c r="I55" s="10" t="str"/>
    </x:row>
    <x:row r="56" ht="32" customHeight="1">
      <x:c r="A56" s="9" t="d">
        <x:v>2026-09-01T00:00:00.000Z</x:v>
      </x:c>
      <x:c r="B56" s="2" t="str">
        <x:v>BC1</x:v>
      </x:c>
      <x:c r="C56" s="11" t="str">
        <x:v>301</x:v>
      </x:c>
      <x:c r="D56" s="10" t="str">
        <x:v>FR2053_ARGAN_TOURNAN EN BRIE</x:v>
      </x:c>
      <x:c r="E56" s="12" t="str">
        <x:v>HS2053</x:v>
      </x:c>
      <x:c r="F56" s="10" t="str">
        <x:v>SAS IDEC — FR | ARGAN_TOURNAN EN BRIE</x:v>
      </x:c>
      <x:c r="G56" s="2" t="str">
        <x:v>Importado</x:v>
      </x:c>
      <x:c r="H56" s="2" t="n">
        <x:v>26</x:v>
      </x:c>
      <x:c r="I56" s="10" t="str"/>
    </x:row>
    <x:row r="57" ht="32" customHeight="1">
      <x:c r="A57" s="9" t="d">
        <x:v>2026-09-01T00:00:00.000Z</x:v>
      </x:c>
      <x:c r="B57" s="2" t="str">
        <x:v>BC2</x:v>
      </x:c>
      <x:c r="C57" s="11" t="str">
        <x:v>302</x:v>
      </x:c>
      <x:c r="D57" s="10" t="str">
        <x:v>FR1970_Plat logistique SEGRO</x:v>
      </x:c>
      <x:c r="E57" s="12" t="str">
        <x:v>HS1970</x:v>
      </x:c>
      <x:c r="F57" s="10" t="str">
        <x:v>QUARTUS LOGISTIQUE — Plat logistique SEGRO_ Ferrières</x:v>
      </x:c>
      <x:c r="G57" s="2" t="str">
        <x:v>Importado</x:v>
      </x:c>
      <x:c r="H57" s="2" t="n">
        <x:v>25</x:v>
      </x:c>
      <x:c r="I57" s="10" t="str"/>
    </x:row>
    <x:row r="58" ht="32" customHeight="1">
      <x:c r="A58" s="9" t="d">
        <x:v>2026-09-01T00:00:00.000Z</x:v>
      </x:c>
      <x:c r="B58" s="2" t="str">
        <x:v>BC3</x:v>
      </x:c>
      <x:c r="C58" s="11" t="str">
        <x:v>303</x:v>
      </x:c>
      <x:c r="D58" s="10" t="str">
        <x:v>FR2035_AXDEV ADPARK_Croissy</x:v>
      </x:c>
      <x:c r="E58" s="12" t="str">
        <x:v>HS2035</x:v>
      </x:c>
      <x:c r="F58" s="10" t="str">
        <x:v>GSE — FR | AXDEV ADPARK_Croissy-Beaubourg</x:v>
      </x:c>
      <x:c r="G58" s="2" t="str">
        <x:v>Importado</x:v>
      </x:c>
      <x:c r="H58" s="2" t="n">
        <x:v>25</x:v>
      </x:c>
      <x:c r="I58" s="10" t="str"/>
    </x:row>
    <x:row r="59" ht="32" customHeight="1">
      <x:c r="A59" s="9" t="d">
        <x:v>2026-09-01T00:00:00.000Z</x:v>
      </x:c>
      <x:c r="B59" s="2" t="str">
        <x:v>BC4</x:v>
      </x:c>
      <x:c r="C59" s="11" t="str">
        <x:v>304</x:v>
      </x:c>
      <x:c r="D59" s="10" t="str">
        <x:v>FR1822 SCI JULIE</x:v>
      </x:c>
      <x:c r="E59" s="12" t="str">
        <x:v>HS1822</x:v>
      </x:c>
      <x:c r="F59" s="10" t="str">
        <x:v>SCI JULIE — CONSTRUCTION  BÂTIMENT_St QUENTIN</x:v>
      </x:c>
      <x:c r="G59" s="2" t="str">
        <x:v>Importado</x:v>
      </x:c>
      <x:c r="H59" s="2" t="n">
        <x:v>25</x:v>
      </x:c>
      <x:c r="I59" s="10" t="str">
        <x:v>Data fora do intervalo cadastrado da obra (2026-04-01 a 2026-06-30); manter a data do Excel.</x:v>
      </x:c>
    </x:row>
    <x:row r="60" ht="32" customHeight="1">
      <x:c r="A60" s="9" t="d">
        <x:v>2026-09-01T00:00:00.000Z</x:v>
      </x:c>
      <x:c r="B60" s="2" t="str">
        <x:v>BC5</x:v>
      </x:c>
      <x:c r="C60" s="11" t="str">
        <x:v>305</x:v>
      </x:c>
      <x:c r="D60" s="10" t="str">
        <x:v>FR1970_Plat logistique SEGRO</x:v>
      </x:c>
      <x:c r="E60" s="12" t="str">
        <x:v>HS1970</x:v>
      </x:c>
      <x:c r="F60" s="10" t="str">
        <x:v>QUARTUS LOGISTIQUE — Plat logistique SEGRO_ Ferrières</x:v>
      </x:c>
      <x:c r="G60" s="2" t="str">
        <x:v>Importado</x:v>
      </x:c>
      <x:c r="H60" s="2" t="n">
        <x:v>25</x:v>
      </x:c>
      <x:c r="I60" s="10" t="str"/>
    </x:row>
    <x:row r="61" ht="32" customHeight="1">
      <x:c r="A61" s="9" t="d">
        <x:v>2026-09-01T00:00:00.000Z</x:v>
      </x:c>
      <x:c r="B61" s="2" t="str">
        <x:v>BC6 Ferro</x:v>
      </x:c>
      <x:c r="C61" s="11" t="str">
        <x:v>306</x:v>
      </x:c>
      <x:c r="D61" s="10" t="str">
        <x:v>FR2056_VIRTUO  BEZONS</x:v>
      </x:c>
      <x:c r="E61" s="12" t="str">
        <x:v>HS2056</x:v>
      </x:c>
      <x:c r="F61" s="10" t="str">
        <x:v>GSE — FR | VIRTUO | BEZONS</x:v>
      </x:c>
      <x:c r="G61" s="2" t="str">
        <x:v>Importado</x:v>
      </x:c>
      <x:c r="H61" s="2" t="n">
        <x:v>25</x:v>
      </x:c>
      <x:c r="I61" s="10" t="str"/>
    </x:row>
    <x:row r="62" ht="32" customHeight="1">
      <x:c r="A62" s="9" t="d">
        <x:v>2026-09-01T00:00:00.000Z</x:v>
      </x:c>
      <x:c r="B62" s="2" t="str">
        <x:v>BC7 Ferro</x:v>
      </x:c>
      <x:c r="C62" s="11" t="str">
        <x:v>307</x:v>
      </x:c>
      <x:c r="D62" s="10" t="str">
        <x:v>FR2056_VIRTUO  BEZONS</x:v>
      </x:c>
      <x:c r="E62" s="12" t="str">
        <x:v>HS2056</x:v>
      </x:c>
      <x:c r="F62" s="10" t="str">
        <x:v>GSE — FR | VIRTUO | BEZONS</x:v>
      </x:c>
      <x:c r="G62" s="2" t="str">
        <x:v>Importado</x:v>
      </x:c>
      <x:c r="H62" s="2" t="n">
        <x:v>25</x:v>
      </x:c>
      <x:c r="I62" s="10" t="str"/>
    </x:row>
    <x:row r="63" ht="32" customHeight="1">
      <x:c r="A63" s="9" t="d">
        <x:v>2026-09-02T00:00:00.000Z</x:v>
      </x:c>
      <x:c r="B63" s="2" t="str">
        <x:v>BC1</x:v>
      </x:c>
      <x:c r="C63" s="11" t="str">
        <x:v>301</x:v>
      </x:c>
      <x:c r="D63" s="10" t="str">
        <x:v>FR2053_ARGAN_TOURNAN EN BRIE</x:v>
      </x:c>
      <x:c r="E63" s="12" t="str">
        <x:v>HS2053</x:v>
      </x:c>
      <x:c r="F63" s="10" t="str">
        <x:v>SAS IDEC — FR | ARGAN_TOURNAN EN BRIE</x:v>
      </x:c>
      <x:c r="G63" s="2" t="str">
        <x:v>Importado</x:v>
      </x:c>
      <x:c r="H63" s="2" t="n">
        <x:v>27</x:v>
      </x:c>
      <x:c r="I63" s="10" t="str"/>
    </x:row>
    <x:row r="64" ht="32" customHeight="1">
      <x:c r="A64" s="9" t="d">
        <x:v>2026-09-02T00:00:00.000Z</x:v>
      </x:c>
      <x:c r="B64" s="2" t="str">
        <x:v>BC2</x:v>
      </x:c>
      <x:c r="C64" s="11" t="str">
        <x:v>302</x:v>
      </x:c>
      <x:c r="D64" s="10" t="str">
        <x:v>FR2053_ARGAN_TOURNAN EN BRIE</x:v>
      </x:c>
      <x:c r="E64" s="12" t="str">
        <x:v>HS2053</x:v>
      </x:c>
      <x:c r="F64" s="10" t="str">
        <x:v>SAS IDEC — FR | ARGAN_TOURNAN EN BRIE</x:v>
      </x:c>
      <x:c r="G64" s="2" t="str">
        <x:v>Importado</x:v>
      </x:c>
      <x:c r="H64" s="2" t="n">
        <x:v>26</x:v>
      </x:c>
      <x:c r="I64" s="10" t="str">
        <x:v>Mais de uma referência para esta equipa no mesmo dia; manter associações distintas.</x:v>
      </x:c>
    </x:row>
    <x:row r="65" ht="32" customHeight="1">
      <x:c r="A65" s="9" t="d">
        <x:v>2026-09-02T00:00:00.000Z</x:v>
      </x:c>
      <x:c r="B65" s="2" t="str">
        <x:v>BC2</x:v>
      </x:c>
      <x:c r="C65" s="11" t="str">
        <x:v>302</x:v>
      </x:c>
      <x:c r="D65" s="10" t="str">
        <x:v>FR1970_Plat logistique SEGRO</x:v>
      </x:c>
      <x:c r="E65" s="12" t="str">
        <x:v>HS1970</x:v>
      </x:c>
      <x:c r="F65" s="10" t="str">
        <x:v>QUARTUS LOGISTIQUE — Plat logistique SEGRO_ Ferrières</x:v>
      </x:c>
      <x:c r="G65" s="2" t="str">
        <x:v>Importado</x:v>
      </x:c>
      <x:c r="H65" s="2" t="n">
        <x:v>27</x:v>
      </x:c>
      <x:c r="I65" s="10" t="str">
        <x:v>Mais de uma referência para esta equipa no mesmo dia; manter associações distintas.</x:v>
      </x:c>
    </x:row>
    <x:row r="66" ht="32" customHeight="1">
      <x:c r="A66" s="9" t="d">
        <x:v>2026-09-02T00:00:00.000Z</x:v>
      </x:c>
      <x:c r="B66" s="2" t="str">
        <x:v>BC3</x:v>
      </x:c>
      <x:c r="C66" s="11" t="str">
        <x:v>303</x:v>
      </x:c>
      <x:c r="D66" s="10" t="str">
        <x:v>FR2035_AXDEV ADPARK_Croissy</x:v>
      </x:c>
      <x:c r="E66" s="12" t="str">
        <x:v>HS2035</x:v>
      </x:c>
      <x:c r="F66" s="10" t="str">
        <x:v>GSE — FR | AXDEV ADPARK_Croissy-Beaubourg</x:v>
      </x:c>
      <x:c r="G66" s="2" t="str">
        <x:v>Importado</x:v>
      </x:c>
      <x:c r="H66" s="2" t="n">
        <x:v>26</x:v>
      </x:c>
      <x:c r="I66" s="10" t="str"/>
    </x:row>
    <x:row r="67" ht="32" customHeight="1">
      <x:c r="A67" s="9" t="d">
        <x:v>2026-09-02T00:00:00.000Z</x:v>
      </x:c>
      <x:c r="B67" s="2" t="str">
        <x:v>BC4</x:v>
      </x:c>
      <x:c r="C67" s="11" t="str">
        <x:v>304</x:v>
      </x:c>
      <x:c r="D67" s="10" t="str">
        <x:v>FR1822 SCI JULIE</x:v>
      </x:c>
      <x:c r="E67" s="12" t="str">
        <x:v>HS1822</x:v>
      </x:c>
      <x:c r="F67" s="10" t="str">
        <x:v>SCI JULIE — CONSTRUCTION  BÂTIMENT_St QUENTIN</x:v>
      </x:c>
      <x:c r="G67" s="2" t="str">
        <x:v>Importado</x:v>
      </x:c>
      <x:c r="H67" s="2" t="n">
        <x:v>26</x:v>
      </x:c>
      <x:c r="I67" s="10" t="str">
        <x:v>Data fora do intervalo cadastrado da obra (2026-04-01 a 2026-06-30); manter a data do Excel.</x:v>
      </x:c>
    </x:row>
    <x:row r="68" ht="32" customHeight="1">
      <x:c r="A68" s="9" t="d">
        <x:v>2026-09-02T00:00:00.000Z</x:v>
      </x:c>
      <x:c r="B68" s="2" t="str">
        <x:v>BC5</x:v>
      </x:c>
      <x:c r="C68" s="11" t="str">
        <x:v>305</x:v>
      </x:c>
      <x:c r="D68" s="10" t="str">
        <x:v>FR1970_Plat logistique SEGRO</x:v>
      </x:c>
      <x:c r="E68" s="12" t="str">
        <x:v>HS1970</x:v>
      </x:c>
      <x:c r="F68" s="10" t="str">
        <x:v>QUARTUS LOGISTIQUE — Plat logistique SEGRO_ Ferrières</x:v>
      </x:c>
      <x:c r="G68" s="2" t="str">
        <x:v>Importado</x:v>
      </x:c>
      <x:c r="H68" s="2" t="n">
        <x:v>26</x:v>
      </x:c>
      <x:c r="I68" s="10" t="str"/>
    </x:row>
    <x:row r="69" ht="32" customHeight="1">
      <x:c r="A69" s="9" t="d">
        <x:v>2026-09-02T00:00:00.000Z</x:v>
      </x:c>
      <x:c r="B69" s="2" t="str">
        <x:v>BC6 Ferro</x:v>
      </x:c>
      <x:c r="C69" s="11" t="str">
        <x:v>306</x:v>
      </x:c>
      <x:c r="D69" s="10" t="str">
        <x:v>FR2056_VIRTUO  BEZONS</x:v>
      </x:c>
      <x:c r="E69" s="12" t="str">
        <x:v>HS2056</x:v>
      </x:c>
      <x:c r="F69" s="10" t="str">
        <x:v>GSE — FR | VIRTUO | BEZONS</x:v>
      </x:c>
      <x:c r="G69" s="2" t="str">
        <x:v>Importado</x:v>
      </x:c>
      <x:c r="H69" s="2" t="n">
        <x:v>26</x:v>
      </x:c>
      <x:c r="I69" s="10" t="str"/>
    </x:row>
    <x:row r="70" ht="32" customHeight="1">
      <x:c r="A70" s="9" t="d">
        <x:v>2026-09-02T00:00:00.000Z</x:v>
      </x:c>
      <x:c r="B70" s="2" t="str">
        <x:v>BC7 Ferro</x:v>
      </x:c>
      <x:c r="C70" s="11" t="str">
        <x:v>307</x:v>
      </x:c>
      <x:c r="D70" s="10" t="str">
        <x:v>FR2056_VIRTUO  BEZONS</x:v>
      </x:c>
      <x:c r="E70" s="12" t="str">
        <x:v>HS2056</x:v>
      </x:c>
      <x:c r="F70" s="10" t="str">
        <x:v>GSE — FR | VIRTUO | BEZONS</x:v>
      </x:c>
      <x:c r="G70" s="2" t="str">
        <x:v>Importado</x:v>
      </x:c>
      <x:c r="H70" s="2" t="n">
        <x:v>26</x:v>
      </x:c>
      <x:c r="I70" s="10" t="str"/>
    </x:row>
    <x:row r="71" ht="32" customHeight="1">
      <x:c r="A71" s="9" t="d">
        <x:v>2026-09-03T00:00:00.000Z</x:v>
      </x:c>
      <x:c r="B71" s="2" t="str">
        <x:v>BC1</x:v>
      </x:c>
      <x:c r="C71" s="11" t="str">
        <x:v>301</x:v>
      </x:c>
      <x:c r="D71" s="10" t="str">
        <x:v>FR2053_ARGAN_TOURNAN EN BRIE</x:v>
      </x:c>
      <x:c r="E71" s="12" t="str">
        <x:v>HS2053</x:v>
      </x:c>
      <x:c r="F71" s="10" t="str">
        <x:v>SAS IDEC — FR | ARGAN_TOURNAN EN BRIE</x:v>
      </x:c>
      <x:c r="G71" s="2" t="str">
        <x:v>Importado</x:v>
      </x:c>
      <x:c r="H71" s="2" t="n">
        <x:v>28</x:v>
      </x:c>
      <x:c r="I71" s="10" t="str"/>
    </x:row>
    <x:row r="72" ht="32" customHeight="1">
      <x:c r="A72" s="9" t="d">
        <x:v>2026-09-03T00:00:00.000Z</x:v>
      </x:c>
      <x:c r="B72" s="2" t="str">
        <x:v>BC2</x:v>
      </x:c>
      <x:c r="C72" s="11" t="str">
        <x:v>302</x:v>
      </x:c>
      <x:c r="D72" s="10" t="str">
        <x:v>FR2053_ARGAN_TOURNAN EN BRIE</x:v>
      </x:c>
      <x:c r="E72" s="12" t="str">
        <x:v>HS2053</x:v>
      </x:c>
      <x:c r="F72" s="10" t="str">
        <x:v>SAS IDEC — FR | ARGAN_TOURNAN EN BRIE</x:v>
      </x:c>
      <x:c r="G72" s="2" t="str">
        <x:v>Importado</x:v>
      </x:c>
      <x:c r="H72" s="2" t="n">
        <x:v>28</x:v>
      </x:c>
      <x:c r="I72" s="10" t="str">
        <x:v>Mais de uma referência para esta equipa no mesmo dia; manter associações distintas.</x:v>
      </x:c>
    </x:row>
    <x:row r="73" ht="32" customHeight="1">
      <x:c r="A73" s="9" t="d">
        <x:v>2026-09-03T00:00:00.000Z</x:v>
      </x:c>
      <x:c r="B73" s="2" t="str">
        <x:v>BC2</x:v>
      </x:c>
      <x:c r="C73" s="11" t="str">
        <x:v>302</x:v>
      </x:c>
      <x:c r="D73" s="10" t="str">
        <x:v>FR1970_Plat logistique SEGRO</x:v>
      </x:c>
      <x:c r="E73" s="12" t="str">
        <x:v>HS1970</x:v>
      </x:c>
      <x:c r="F73" s="10" t="str">
        <x:v>QUARTUS LOGISTIQUE — Plat logistique SEGRO_ Ferrières</x:v>
      </x:c>
      <x:c r="G73" s="2" t="str">
        <x:v>Importado</x:v>
      </x:c>
      <x:c r="H73" s="2" t="n">
        <x:v>29</x:v>
      </x:c>
      <x:c r="I73" s="10" t="str">
        <x:v>Mais de uma referência para esta equipa no mesmo dia; manter associações distintas.</x:v>
      </x:c>
    </x:row>
    <x:row r="74" ht="32" customHeight="1">
      <x:c r="A74" s="9" t="d">
        <x:v>2026-09-03T00:00:00.000Z</x:v>
      </x:c>
      <x:c r="B74" s="2" t="str">
        <x:v>BC3</x:v>
      </x:c>
      <x:c r="C74" s="11" t="str">
        <x:v>303</x:v>
      </x:c>
      <x:c r="D74" s="10" t="str">
        <x:v>FR2035_AXDEV ADPARK_Croissy</x:v>
      </x:c>
      <x:c r="E74" s="12" t="str">
        <x:v>HS2035</x:v>
      </x:c>
      <x:c r="F74" s="10" t="str">
        <x:v>GSE — FR | AXDEV ADPARK_Croissy-Beaubourg</x:v>
      </x:c>
      <x:c r="G74" s="2" t="str">
        <x:v>Importado</x:v>
      </x:c>
      <x:c r="H74" s="2" t="n">
        <x:v>27</x:v>
      </x:c>
      <x:c r="I74" s="10" t="str"/>
    </x:row>
    <x:row r="75" ht="32" customHeight="1">
      <x:c r="A75" s="9" t="d">
        <x:v>2026-09-03T00:00:00.000Z</x:v>
      </x:c>
      <x:c r="B75" s="2" t="str">
        <x:v>BC4</x:v>
      </x:c>
      <x:c r="C75" s="11" t="str">
        <x:v>304</x:v>
      </x:c>
      <x:c r="D75" s="10" t="str">
        <x:v>FR1822 SCI JULIE</x:v>
      </x:c>
      <x:c r="E75" s="12" t="str">
        <x:v>HS1822</x:v>
      </x:c>
      <x:c r="F75" s="10" t="str">
        <x:v>SCI JULIE — CONSTRUCTION  BÂTIMENT_St QUENTIN</x:v>
      </x:c>
      <x:c r="G75" s="2" t="str">
        <x:v>Importado</x:v>
      </x:c>
      <x:c r="H75" s="2" t="n">
        <x:v>27</x:v>
      </x:c>
      <x:c r="I75" s="10" t="str">
        <x:v>Data fora do intervalo cadastrado da obra (2026-04-01 a 2026-06-30); manter a data do Excel.</x:v>
      </x:c>
    </x:row>
    <x:row r="76" ht="32" customHeight="1">
      <x:c r="A76" s="9" t="d">
        <x:v>2026-09-03T00:00:00.000Z</x:v>
      </x:c>
      <x:c r="B76" s="2" t="str">
        <x:v>BC5</x:v>
      </x:c>
      <x:c r="C76" s="11" t="str">
        <x:v>305</x:v>
      </x:c>
      <x:c r="D76" s="10" t="str">
        <x:v>FR1970_Plat logistique SEGRO</x:v>
      </x:c>
      <x:c r="E76" s="12" t="str">
        <x:v>HS1970</x:v>
      </x:c>
      <x:c r="F76" s="10" t="str">
        <x:v>QUARTUS LOGISTIQUE — Plat logistique SEGRO_ Ferrières</x:v>
      </x:c>
      <x:c r="G76" s="2" t="str">
        <x:v>Importado</x:v>
      </x:c>
      <x:c r="H76" s="2" t="n">
        <x:v>27</x:v>
      </x:c>
      <x:c r="I76" s="10" t="str"/>
    </x:row>
    <x:row r="77" ht="32" customHeight="1">
      <x:c r="A77" s="9" t="d">
        <x:v>2026-09-03T00:00:00.000Z</x:v>
      </x:c>
      <x:c r="B77" s="2" t="str">
        <x:v>BC6 Ferro</x:v>
      </x:c>
      <x:c r="C77" s="11" t="str">
        <x:v>306</x:v>
      </x:c>
      <x:c r="D77" s="10" t="str">
        <x:v>FR2056_VIRTUO  BEZONS</x:v>
      </x:c>
      <x:c r="E77" s="12" t="str">
        <x:v>HS2056</x:v>
      </x:c>
      <x:c r="F77" s="10" t="str">
        <x:v>GSE — FR | VIRTUO | BEZONS</x:v>
      </x:c>
      <x:c r="G77" s="2" t="str">
        <x:v>Importado</x:v>
      </x:c>
      <x:c r="H77" s="2" t="n">
        <x:v>27</x:v>
      </x:c>
      <x:c r="I77" s="10" t="str"/>
    </x:row>
    <x:row r="78" ht="48" customHeight="1">
      <x:c r="A78" s="9" t="d">
        <x:v>2026-09-03T00:00:00.000Z</x:v>
      </x:c>
      <x:c r="B78" s="2" t="str">
        <x:v>BC7 Ferro</x:v>
      </x:c>
      <x:c r="C78" s="11" t="str">
        <x:v>307</x:v>
      </x:c>
      <x:c r="D78" s="10" t="str">
        <x:v>parking intersol nancy</x:v>
      </x:c>
      <x:c r="E78" s="12" t="str"/>
      <x:c r="F78" s="10" t="str"/>
      <x:c r="G78" s="2" t="str">
        <x:v>Não importado</x:v>
      </x:c>
      <x:c r="H78" s="2" t="n">
        <x:v>27</x:v>
      </x:c>
      <x:c r="I78" s="10" t="str">
        <x:v>HS2092 tem nome, localidade e datas compatíveis; consta no planeamento de outra equipa em 03/09 e 04/09. HS2431 inicia em outubro.</x:v>
      </x:c>
    </x:row>
    <x:row r="79" ht="32" customHeight="1">
      <x:c r="A79" s="9" t="d">
        <x:v>2026-09-04T00:00:00.000Z</x:v>
      </x:c>
      <x:c r="B79" s="2" t="str">
        <x:v>BC1</x:v>
      </x:c>
      <x:c r="C79" s="11" t="str">
        <x:v>301</x:v>
      </x:c>
      <x:c r="D79" s="10" t="str">
        <x:v>FR2053_ARGAN_TOURNAN EN BRIE</x:v>
      </x:c>
      <x:c r="E79" s="12" t="str">
        <x:v>HS2053</x:v>
      </x:c>
      <x:c r="F79" s="10" t="str">
        <x:v>SAS IDEC — FR | ARGAN_TOURNAN EN BRIE</x:v>
      </x:c>
      <x:c r="G79" s="2" t="str">
        <x:v>Importado</x:v>
      </x:c>
      <x:c r="H79" s="2" t="n">
        <x:v>29</x:v>
      </x:c>
      <x:c r="I79" s="10" t="str"/>
    </x:row>
    <x:row r="80" ht="32" customHeight="1">
      <x:c r="A80" s="9" t="d">
        <x:v>2026-09-04T00:00:00.000Z</x:v>
      </x:c>
      <x:c r="B80" s="2" t="str">
        <x:v>BC2</x:v>
      </x:c>
      <x:c r="C80" s="11" t="str">
        <x:v>302</x:v>
      </x:c>
      <x:c r="D80" s="10" t="str">
        <x:v>FR2053_ARGAN_TOURNAN EN BRIE</x:v>
      </x:c>
      <x:c r="E80" s="12" t="str">
        <x:v>HS2053</x:v>
      </x:c>
      <x:c r="F80" s="10" t="str">
        <x:v>SAS IDEC — FR | ARGAN_TOURNAN EN BRIE</x:v>
      </x:c>
      <x:c r="G80" s="2" t="str">
        <x:v>Importado</x:v>
      </x:c>
      <x:c r="H80" s="2" t="n">
        <x:v>30</x:v>
      </x:c>
      <x:c r="I80" s="10" t="str">
        <x:v>Mais de uma referência para esta equipa no mesmo dia; manter associações distintas.</x:v>
      </x:c>
    </x:row>
    <x:row r="81" ht="32" customHeight="1">
      <x:c r="A81" s="9" t="d">
        <x:v>2026-09-04T00:00:00.000Z</x:v>
      </x:c>
      <x:c r="B81" s="2" t="str">
        <x:v>BC2</x:v>
      </x:c>
      <x:c r="C81" s="11" t="str">
        <x:v>302</x:v>
      </x:c>
      <x:c r="D81" s="10" t="str">
        <x:v>FR1970_Plat logistique SEGRO</x:v>
      </x:c>
      <x:c r="E81" s="12" t="str">
        <x:v>HS1970</x:v>
      </x:c>
      <x:c r="F81" s="10" t="str">
        <x:v>QUARTUS LOGISTIQUE — Plat logistique SEGRO_ Ferrières</x:v>
      </x:c>
      <x:c r="G81" s="2" t="str">
        <x:v>Importado</x:v>
      </x:c>
      <x:c r="H81" s="2" t="n">
        <x:v>31</x:v>
      </x:c>
      <x:c r="I81" s="10" t="str">
        <x:v>Mais de uma referência para esta equipa no mesmo dia; manter associações distintas.</x:v>
      </x:c>
    </x:row>
    <x:row r="82" ht="32" customHeight="1">
      <x:c r="A82" s="9" t="d">
        <x:v>2026-09-04T00:00:00.000Z</x:v>
      </x:c>
      <x:c r="B82" s="2" t="str">
        <x:v>BC3</x:v>
      </x:c>
      <x:c r="C82" s="11" t="str">
        <x:v>303</x:v>
      </x:c>
      <x:c r="D82" s="10" t="str">
        <x:v>FR2035_AXDEV ADPARK_Croissy</x:v>
      </x:c>
      <x:c r="E82" s="12" t="str">
        <x:v>HS2035</x:v>
      </x:c>
      <x:c r="F82" s="10" t="str">
        <x:v>GSE — FR | AXDEV ADPARK_Croissy-Beaubourg</x:v>
      </x:c>
      <x:c r="G82" s="2" t="str">
        <x:v>Importado</x:v>
      </x:c>
      <x:c r="H82" s="2" t="n">
        <x:v>28</x:v>
      </x:c>
      <x:c r="I82" s="10" t="str"/>
    </x:row>
    <x:row r="83" ht="32" customHeight="1">
      <x:c r="A83" s="9" t="d">
        <x:v>2026-09-04T00:00:00.000Z</x:v>
      </x:c>
      <x:c r="B83" s="2" t="str">
        <x:v>BC4</x:v>
      </x:c>
      <x:c r="C83" s="11" t="str">
        <x:v>304</x:v>
      </x:c>
      <x:c r="D83" s="10" t="str">
        <x:v>FR1822 SCI JULIE</x:v>
      </x:c>
      <x:c r="E83" s="12" t="str">
        <x:v>HS1822</x:v>
      </x:c>
      <x:c r="F83" s="10" t="str">
        <x:v>SCI JULIE — CONSTRUCTION  BÂTIMENT_St QUENTIN</x:v>
      </x:c>
      <x:c r="G83" s="2" t="str">
        <x:v>Importado</x:v>
      </x:c>
      <x:c r="H83" s="2" t="n">
        <x:v>28</x:v>
      </x:c>
      <x:c r="I83" s="10" t="str">
        <x:v>Data fora do intervalo cadastrado da obra (2026-04-01 a 2026-06-30); manter a data do Excel.</x:v>
      </x:c>
    </x:row>
    <x:row r="84" ht="32" customHeight="1">
      <x:c r="A84" s="9" t="d">
        <x:v>2026-09-04T00:00:00.000Z</x:v>
      </x:c>
      <x:c r="B84" s="2" t="str">
        <x:v>BC5</x:v>
      </x:c>
      <x:c r="C84" s="11" t="str">
        <x:v>305</x:v>
      </x:c>
      <x:c r="D84" s="10" t="str">
        <x:v>FR1970_Plat logistique SEGRO</x:v>
      </x:c>
      <x:c r="E84" s="12" t="str">
        <x:v>HS1970</x:v>
      </x:c>
      <x:c r="F84" s="10" t="str">
        <x:v>QUARTUS LOGISTIQUE — Plat logistique SEGRO_ Ferrières</x:v>
      </x:c>
      <x:c r="G84" s="2" t="str">
        <x:v>Importado</x:v>
      </x:c>
      <x:c r="H84" s="2" t="n">
        <x:v>28</x:v>
      </x:c>
      <x:c r="I84" s="10" t="str"/>
    </x:row>
    <x:row r="85" ht="32" customHeight="1">
      <x:c r="A85" s="9" t="d">
        <x:v>2026-09-04T00:00:00.000Z</x:v>
      </x:c>
      <x:c r="B85" s="2" t="str">
        <x:v>BC6 Ferro</x:v>
      </x:c>
      <x:c r="C85" s="11" t="str">
        <x:v>306</x:v>
      </x:c>
      <x:c r="D85" s="10" t="str">
        <x:v>FR2056_VIRTUO  BEZONS</x:v>
      </x:c>
      <x:c r="E85" s="12" t="str">
        <x:v>HS2056</x:v>
      </x:c>
      <x:c r="F85" s="10" t="str">
        <x:v>GSE — FR | VIRTUO | BEZONS</x:v>
      </x:c>
      <x:c r="G85" s="2" t="str">
        <x:v>Importado</x:v>
      </x:c>
      <x:c r="H85" s="2" t="n">
        <x:v>28</x:v>
      </x:c>
      <x:c r="I85" s="10" t="str"/>
    </x:row>
    <x:row r="86" ht="48" customHeight="1">
      <x:c r="A86" s="9" t="d">
        <x:v>2026-09-04T00:00:00.000Z</x:v>
      </x:c>
      <x:c r="B86" s="2" t="str">
        <x:v>BC7 Ferro</x:v>
      </x:c>
      <x:c r="C86" s="11" t="str">
        <x:v>307</x:v>
      </x:c>
      <x:c r="D86" s="10" t="str">
        <x:v>parking intersol nancy</x:v>
      </x:c>
      <x:c r="E86" s="12" t="str"/>
      <x:c r="F86" s="10" t="str"/>
      <x:c r="G86" s="2" t="str">
        <x:v>Não importado</x:v>
      </x:c>
      <x:c r="H86" s="2" t="n">
        <x:v>28</x:v>
      </x:c>
      <x:c r="I86" s="10" t="str">
        <x:v>HS2092 tem nome, localidade e datas compatíveis; consta no planeamento de outra equipa em 03/09 e 04/09. HS2431 inicia em outubro.</x:v>
      </x:c>
    </x:row>
    <x:row r="87" ht="32" customHeight="1">
      <x:c r="A87" s="9" t="d">
        <x:v>2026-09-05T00:00:00.000Z</x:v>
      </x:c>
      <x:c r="B87" s="2" t="str">
        <x:v>BC1</x:v>
      </x:c>
      <x:c r="C87" s="11" t="str">
        <x:v>301</x:v>
      </x:c>
      <x:c r="D87" s="10" t="str">
        <x:v>FR2053_ARGAN_TOURNAN EN BRIE</x:v>
      </x:c>
      <x:c r="E87" s="12" t="str">
        <x:v>HS2053</x:v>
      </x:c>
      <x:c r="F87" s="10" t="str">
        <x:v>SAS IDEC — FR | ARGAN_TOURNAN EN BRIE</x:v>
      </x:c>
      <x:c r="G87" s="2" t="str">
        <x:v>Importado</x:v>
      </x:c>
      <x:c r="H87" s="2" t="n">
        <x:v>30</x:v>
      </x:c>
      <x:c r="I87" s="10" t="str"/>
    </x:row>
    <x:row r="88" ht="32" customHeight="1">
      <x:c r="A88" s="9" t="d">
        <x:v>2026-09-05T00:00:00.000Z</x:v>
      </x:c>
      <x:c r="B88" s="2" t="str">
        <x:v>BC2</x:v>
      </x:c>
      <x:c r="C88" s="11" t="str">
        <x:v>302</x:v>
      </x:c>
      <x:c r="D88" s="10" t="str">
        <x:v>viagem sozinho França/Portugal de carro</x:v>
      </x:c>
      <x:c r="E88" s="12" t="str"/>
      <x:c r="F88" s="10" t="str"/>
      <x:c r="G88" s="2" t="str">
        <x:v>Deslocação</x:v>
      </x:c>
      <x:c r="H88" s="2" t="n">
        <x:v>32</x:v>
      </x:c>
      <x:c r="I88" s="10" t="str">
        <x:v>Deslocação sem obra identificada; não criar associação a uma obra.</x:v>
      </x:c>
    </x:row>
    <x:row r="89" ht="32" customHeight="1">
      <x:c r="A89" s="9" t="d">
        <x:v>2026-09-05T00:00:00.000Z</x:v>
      </x:c>
      <x:c r="B89" s="2" t="str">
        <x:v>BC6 Ferro</x:v>
      </x:c>
      <x:c r="C89" s="11" t="str">
        <x:v>306</x:v>
      </x:c>
      <x:c r="D89" s="10" t="str">
        <x:v>Nancy intersol</x:v>
      </x:c>
      <x:c r="E89" s="12" t="str"/>
      <x:c r="F89" s="10" t="str"/>
      <x:c r="G89" s="2" t="str">
        <x:v>Não importado</x:v>
      </x:c>
      <x:c r="H89" s="2" t="n">
        <x:v>29</x:v>
      </x:c>
      <x:c r="I89" s="10" t="str">
        <x:v>HS2092 é a proposta principal; nome genérico. Confirmar se é a mesma obra de parking intersol nancy.</x:v>
      </x:c>
    </x:row>
    <x:row r="90" ht="32" customHeight="1">
      <x:c r="A90" s="9" t="d">
        <x:v>2026-09-05T00:00:00.000Z</x:v>
      </x:c>
      <x:c r="B90" s="2" t="str">
        <x:v>BC7 Ferro</x:v>
      </x:c>
      <x:c r="C90" s="11" t="str">
        <x:v>307</x:v>
      </x:c>
      <x:c r="D90" s="10" t="str">
        <x:v>Nancy intersol</x:v>
      </x:c>
      <x:c r="E90" s="12" t="str"/>
      <x:c r="F90" s="10" t="str"/>
      <x:c r="G90" s="2" t="str">
        <x:v>Não importado</x:v>
      </x:c>
      <x:c r="H90" s="2" t="n">
        <x:v>29</x:v>
      </x:c>
      <x:c r="I90" s="10" t="str">
        <x:v>HS2092 é a proposta principal; nome genérico. Confirmar se é a mesma obra de parking intersol nancy.</x:v>
      </x:c>
    </x:row>
    <x:row r="91" ht="32" customHeight="1">
      <x:c r="A91" s="9" t="d">
        <x:v>2026-09-07T00:00:00.000Z</x:v>
      </x:c>
      <x:c r="B91" s="2" t="str">
        <x:v>BC1</x:v>
      </x:c>
      <x:c r="C91" s="11" t="str">
        <x:v>301</x:v>
      </x:c>
      <x:c r="D91" s="10" t="str">
        <x:v>FR2053_ARGAN_TOURNAN EN BRIE</x:v>
      </x:c>
      <x:c r="E91" s="12" t="str">
        <x:v>HS2053</x:v>
      </x:c>
      <x:c r="F91" s="10" t="str">
        <x:v>SAS IDEC — FR | ARGAN_TOURNAN EN BRIE</x:v>
      </x:c>
      <x:c r="G91" s="2" t="str">
        <x:v>Importado</x:v>
      </x:c>
      <x:c r="H91" s="2" t="n">
        <x:v>32</x:v>
      </x:c>
      <x:c r="I91" s="10" t="str"/>
    </x:row>
    <x:row r="92" ht="32" customHeight="1">
      <x:c r="A92" s="9" t="d">
        <x:v>2026-09-07T00:00:00.000Z</x:v>
      </x:c>
      <x:c r="B92" s="2" t="str">
        <x:v>BC2</x:v>
      </x:c>
      <x:c r="C92" s="11" t="str">
        <x:v>302</x:v>
      </x:c>
      <x:c r="D92" s="10" t="str">
        <x:v>FR1970_Plat logistique SEGRO</x:v>
      </x:c>
      <x:c r="E92" s="12" t="str">
        <x:v>HS1970</x:v>
      </x:c>
      <x:c r="F92" s="10" t="str">
        <x:v>QUARTUS LOGISTIQUE — Plat logistique SEGRO_ Ferrières</x:v>
      </x:c>
      <x:c r="G92" s="2" t="str">
        <x:v>Importado</x:v>
      </x:c>
      <x:c r="H92" s="2" t="n">
        <x:v>34</x:v>
      </x:c>
      <x:c r="I92" s="10" t="str"/>
    </x:row>
    <x:row r="93" ht="32" customHeight="1">
      <x:c r="A93" s="9" t="d">
        <x:v>2026-09-07T00:00:00.000Z</x:v>
      </x:c>
      <x:c r="B93" s="2" t="str">
        <x:v>BC3</x:v>
      </x:c>
      <x:c r="C93" s="11" t="str">
        <x:v>303</x:v>
      </x:c>
      <x:c r="D93" s="10" t="str">
        <x:v>FR2035_AXDEV ADPARK_Croissy</x:v>
      </x:c>
      <x:c r="E93" s="12" t="str">
        <x:v>HS2035</x:v>
      </x:c>
      <x:c r="F93" s="10" t="str">
        <x:v>GSE — FR | AXDEV ADPARK_Croissy-Beaubourg</x:v>
      </x:c>
      <x:c r="G93" s="2" t="str">
        <x:v>Importado</x:v>
      </x:c>
      <x:c r="H93" s="2" t="n">
        <x:v>31</x:v>
      </x:c>
      <x:c r="I93" s="10" t="str"/>
    </x:row>
    <x:row r="94" ht="32" customHeight="1">
      <x:c r="A94" s="9" t="d">
        <x:v>2026-09-07T00:00:00.000Z</x:v>
      </x:c>
      <x:c r="B94" s="2" t="str">
        <x:v>BC4</x:v>
      </x:c>
      <x:c r="C94" s="11" t="str">
        <x:v>304</x:v>
      </x:c>
      <x:c r="D94" s="10" t="str">
        <x:v>FR2090_SCI MANON</x:v>
      </x:c>
      <x:c r="E94" s="12" t="str">
        <x:v>HS2090</x:v>
      </x:c>
      <x:c r="F94" s="10" t="str">
        <x:v>SCI MANON — REALISATION BAT D &amp; EXT_TOULOUSE</x:v>
      </x:c>
      <x:c r="G94" s="2" t="str">
        <x:v>Importado</x:v>
      </x:c>
      <x:c r="H94" s="2" t="n">
        <x:v>31</x:v>
      </x:c>
      <x:c r="I94" s="10" t="str"/>
    </x:row>
    <x:row r="95" ht="32" customHeight="1">
      <x:c r="A95" s="9" t="d">
        <x:v>2026-09-07T00:00:00.000Z</x:v>
      </x:c>
      <x:c r="B95" s="2" t="str">
        <x:v>BC5</x:v>
      </x:c>
      <x:c r="C95" s="11" t="str">
        <x:v>305</x:v>
      </x:c>
      <x:c r="D95" s="10" t="str">
        <x:v>FR1970_Plat logistique SEGRO</x:v>
      </x:c>
      <x:c r="E95" s="12" t="str">
        <x:v>HS1970</x:v>
      </x:c>
      <x:c r="F95" s="10" t="str">
        <x:v>QUARTUS LOGISTIQUE — Plat logistique SEGRO_ Ferrières</x:v>
      </x:c>
      <x:c r="G95" s="2" t="str">
        <x:v>Importado</x:v>
      </x:c>
      <x:c r="H95" s="2" t="n">
        <x:v>31</x:v>
      </x:c>
      <x:c r="I95" s="10" t="str"/>
    </x:row>
    <x:row r="96" ht="32" customHeight="1">
      <x:c r="A96" s="9" t="d">
        <x:v>2026-09-07T00:00:00.000Z</x:v>
      </x:c>
      <x:c r="B96" s="2" t="str">
        <x:v>BC6 Ferro</x:v>
      </x:c>
      <x:c r="C96" s="11" t="str">
        <x:v>306</x:v>
      </x:c>
      <x:c r="D96" s="10" t="str">
        <x:v>FR2056_VIRTUO  BEZONS</x:v>
      </x:c>
      <x:c r="E96" s="12" t="str">
        <x:v>HS2056</x:v>
      </x:c>
      <x:c r="F96" s="10" t="str">
        <x:v>GSE — FR | VIRTUO | BEZONS</x:v>
      </x:c>
      <x:c r="G96" s="2" t="str">
        <x:v>Importado</x:v>
      </x:c>
      <x:c r="H96" s="2" t="n">
        <x:v>31</x:v>
      </x:c>
      <x:c r="I96" s="10" t="str"/>
    </x:row>
    <x:row r="97" ht="48" customHeight="1">
      <x:c r="A97" s="9" t="d">
        <x:v>2026-09-07T00:00:00.000Z</x:v>
      </x:c>
      <x:c r="B97" s="2" t="str">
        <x:v>BC7 Ferro</x:v>
      </x:c>
      <x:c r="C97" s="11" t="str">
        <x:v>307</x:v>
      </x:c>
      <x:c r="D97" s="10" t="str">
        <x:v>parking intersol nancy</x:v>
      </x:c>
      <x:c r="E97" s="12" t="str"/>
      <x:c r="F97" s="10" t="str"/>
      <x:c r="G97" s="2" t="str">
        <x:v>Não importado</x:v>
      </x:c>
      <x:c r="H97" s="2" t="n">
        <x:v>31</x:v>
      </x:c>
      <x:c r="I97" s="10" t="str">
        <x:v>HS2092 tem nome, localidade e datas compatíveis; consta no planeamento de outra equipa em 03/09 e 04/09. HS2431 inicia em outubro.</x:v>
      </x:c>
    </x:row>
    <x:row r="98" ht="32" customHeight="1">
      <x:c r="A98" s="9" t="d">
        <x:v>2026-09-08T00:00:00.000Z</x:v>
      </x:c>
      <x:c r="B98" s="2" t="str">
        <x:v>BC1</x:v>
      </x:c>
      <x:c r="C98" s="11" t="str">
        <x:v>301</x:v>
      </x:c>
      <x:c r="D98" s="10" t="str">
        <x:v>FR2053_ARGAN_TOURNAN EN BRIE</x:v>
      </x:c>
      <x:c r="E98" s="12" t="str">
        <x:v>HS2053</x:v>
      </x:c>
      <x:c r="F98" s="10" t="str">
        <x:v>SAS IDEC — FR | ARGAN_TOURNAN EN BRIE</x:v>
      </x:c>
      <x:c r="G98" s="2" t="str">
        <x:v>Importado</x:v>
      </x:c>
      <x:c r="H98" s="2" t="n">
        <x:v>33</x:v>
      </x:c>
      <x:c r="I98" s="10" t="str"/>
    </x:row>
    <x:row r="99" ht="32" customHeight="1">
      <x:c r="A99" s="9" t="d">
        <x:v>2026-09-08T00:00:00.000Z</x:v>
      </x:c>
      <x:c r="B99" s="2" t="str">
        <x:v>BC2</x:v>
      </x:c>
      <x:c r="C99" s="11" t="str">
        <x:v>302</x:v>
      </x:c>
      <x:c r="D99" s="10" t="str">
        <x:v>FR1970_Plat logistique SEGRO</x:v>
      </x:c>
      <x:c r="E99" s="12" t="str">
        <x:v>HS1970</x:v>
      </x:c>
      <x:c r="F99" s="10" t="str">
        <x:v>QUARTUS LOGISTIQUE — Plat logistique SEGRO_ Ferrières</x:v>
      </x:c>
      <x:c r="G99" s="2" t="str">
        <x:v>Importado</x:v>
      </x:c>
      <x:c r="H99" s="2" t="n">
        <x:v>35</x:v>
      </x:c>
      <x:c r="I99" s="10" t="str"/>
    </x:row>
    <x:row r="100" ht="32" customHeight="1">
      <x:c r="A100" s="9" t="d">
        <x:v>2026-09-08T00:00:00.000Z</x:v>
      </x:c>
      <x:c r="B100" s="2" t="str">
        <x:v>BC3</x:v>
      </x:c>
      <x:c r="C100" s="11" t="str">
        <x:v>303</x:v>
      </x:c>
      <x:c r="D100" s="10" t="str">
        <x:v>FR2035_AXDEV ADPARK_Croissy</x:v>
      </x:c>
      <x:c r="E100" s="12" t="str">
        <x:v>HS2035</x:v>
      </x:c>
      <x:c r="F100" s="10" t="str">
        <x:v>GSE — FR | AXDEV ADPARK_Croissy-Beaubourg</x:v>
      </x:c>
      <x:c r="G100" s="2" t="str">
        <x:v>Importado</x:v>
      </x:c>
      <x:c r="H100" s="2" t="n">
        <x:v>32</x:v>
      </x:c>
      <x:c r="I100" s="10" t="str"/>
    </x:row>
    <x:row r="101" ht="32" customHeight="1">
      <x:c r="A101" s="9" t="d">
        <x:v>2026-09-08T00:00:00.000Z</x:v>
      </x:c>
      <x:c r="B101" s="2" t="str">
        <x:v>BC4</x:v>
      </x:c>
      <x:c r="C101" s="11" t="str">
        <x:v>304</x:v>
      </x:c>
      <x:c r="D101" s="10" t="str">
        <x:v>FR2090_SCI MANON</x:v>
      </x:c>
      <x:c r="E101" s="12" t="str">
        <x:v>HS2090</x:v>
      </x:c>
      <x:c r="F101" s="10" t="str">
        <x:v>SCI MANON — REALISATION BAT D &amp; EXT_TOULOUSE</x:v>
      </x:c>
      <x:c r="G101" s="2" t="str">
        <x:v>Importado</x:v>
      </x:c>
      <x:c r="H101" s="2" t="n">
        <x:v>32</x:v>
      </x:c>
      <x:c r="I101" s="10" t="str"/>
    </x:row>
    <x:row r="102" ht="32" customHeight="1">
      <x:c r="A102" s="9" t="d">
        <x:v>2026-09-08T00:00:00.000Z</x:v>
      </x:c>
      <x:c r="B102" s="2" t="str">
        <x:v>BC5</x:v>
      </x:c>
      <x:c r="C102" s="11" t="str">
        <x:v>305</x:v>
      </x:c>
      <x:c r="D102" s="10" t="str">
        <x:v>FR1970_Plat logistique SEGRO</x:v>
      </x:c>
      <x:c r="E102" s="12" t="str">
        <x:v>HS1970</x:v>
      </x:c>
      <x:c r="F102" s="10" t="str">
        <x:v>QUARTUS LOGISTIQUE — Plat logistique SEGRO_ Ferrières</x:v>
      </x:c>
      <x:c r="G102" s="2" t="str">
        <x:v>Importado</x:v>
      </x:c>
      <x:c r="H102" s="2" t="n">
        <x:v>32</x:v>
      </x:c>
      <x:c r="I102" s="10" t="str"/>
    </x:row>
    <x:row r="103" ht="32" customHeight="1">
      <x:c r="A103" s="9" t="d">
        <x:v>2026-09-08T00:00:00.000Z</x:v>
      </x:c>
      <x:c r="B103" s="2" t="str">
        <x:v>BC6 Ferro</x:v>
      </x:c>
      <x:c r="C103" s="11" t="str">
        <x:v>306</x:v>
      </x:c>
      <x:c r="D103" s="10" t="str">
        <x:v>Nancy intersol</x:v>
      </x:c>
      <x:c r="E103" s="12" t="str"/>
      <x:c r="F103" s="10" t="str"/>
      <x:c r="G103" s="2" t="str">
        <x:v>Não importado</x:v>
      </x:c>
      <x:c r="H103" s="2" t="n">
        <x:v>32</x:v>
      </x:c>
      <x:c r="I103" s="10" t="str">
        <x:v>HS2092 é a proposta principal; nome genérico. Confirmar se é a mesma obra de parking intersol nancy.</x:v>
      </x:c>
    </x:row>
    <x:row r="104" ht="32" customHeight="1">
      <x:c r="A104" s="9" t="d">
        <x:v>2026-09-08T00:00:00.000Z</x:v>
      </x:c>
      <x:c r="B104" s="2" t="str">
        <x:v>BC7 Ferro</x:v>
      </x:c>
      <x:c r="C104" s="11" t="str">
        <x:v>307</x:v>
      </x:c>
      <x:c r="D104" s="10" t="str">
        <x:v>Nancy intersol</x:v>
      </x:c>
      <x:c r="E104" s="12" t="str"/>
      <x:c r="F104" s="10" t="str"/>
      <x:c r="G104" s="2" t="str">
        <x:v>Não importado</x:v>
      </x:c>
      <x:c r="H104" s="2" t="n">
        <x:v>32</x:v>
      </x:c>
      <x:c r="I104" s="10" t="str">
        <x:v>HS2092 é a proposta principal; nome genérico. Confirmar se é a mesma obra de parking intersol nancy.</x:v>
      </x:c>
    </x:row>
    <x:row r="105" ht="32" customHeight="1">
      <x:c r="A105" s="9" t="d">
        <x:v>2026-09-09T00:00:00.000Z</x:v>
      </x:c>
      <x:c r="B105" s="2" t="str">
        <x:v>BC1</x:v>
      </x:c>
      <x:c r="C105" s="11" t="str">
        <x:v>301</x:v>
      </x:c>
      <x:c r="D105" s="10" t="str">
        <x:v>FR2053_ARGAN_TOURNAN EN BRIE</x:v>
      </x:c>
      <x:c r="E105" s="12" t="str">
        <x:v>HS2053</x:v>
      </x:c>
      <x:c r="F105" s="10" t="str">
        <x:v>SAS IDEC — FR | ARGAN_TOURNAN EN BRIE</x:v>
      </x:c>
      <x:c r="G105" s="2" t="str">
        <x:v>Importado</x:v>
      </x:c>
      <x:c r="H105" s="2" t="n">
        <x:v>34</x:v>
      </x:c>
      <x:c r="I105" s="10" t="str"/>
    </x:row>
    <x:row r="106" ht="32" customHeight="1">
      <x:c r="A106" s="9" t="d">
        <x:v>2026-09-09T00:00:00.000Z</x:v>
      </x:c>
      <x:c r="B106" s="2" t="str">
        <x:v>BC2</x:v>
      </x:c>
      <x:c r="C106" s="11" t="str">
        <x:v>302</x:v>
      </x:c>
      <x:c r="D106" s="10" t="str">
        <x:v>FR1970_Plat logistique SEGRO</x:v>
      </x:c>
      <x:c r="E106" s="12" t="str">
        <x:v>HS1970</x:v>
      </x:c>
      <x:c r="F106" s="10" t="str">
        <x:v>QUARTUS LOGISTIQUE — Plat logistique SEGRO_ Ferrières</x:v>
      </x:c>
      <x:c r="G106" s="2" t="str">
        <x:v>Importado</x:v>
      </x:c>
      <x:c r="H106" s="2" t="n">
        <x:v>36</x:v>
      </x:c>
      <x:c r="I106" s="10" t="str"/>
    </x:row>
    <x:row r="107" ht="32" customHeight="1">
      <x:c r="A107" s="9" t="d">
        <x:v>2026-09-09T00:00:00.000Z</x:v>
      </x:c>
      <x:c r="B107" s="2" t="str">
        <x:v>BC3</x:v>
      </x:c>
      <x:c r="C107" s="11" t="str">
        <x:v>303</x:v>
      </x:c>
      <x:c r="D107" s="10" t="str">
        <x:v>FR2035_AXDEV ADPARK_Croissy</x:v>
      </x:c>
      <x:c r="E107" s="12" t="str">
        <x:v>HS2035</x:v>
      </x:c>
      <x:c r="F107" s="10" t="str">
        <x:v>GSE — FR | AXDEV ADPARK_Croissy-Beaubourg</x:v>
      </x:c>
      <x:c r="G107" s="2" t="str">
        <x:v>Importado</x:v>
      </x:c>
      <x:c r="H107" s="2" t="n">
        <x:v>33</x:v>
      </x:c>
      <x:c r="I107" s="10" t="str"/>
    </x:row>
    <x:row r="108" ht="32" customHeight="1">
      <x:c r="A108" s="9" t="d">
        <x:v>2026-09-09T00:00:00.000Z</x:v>
      </x:c>
      <x:c r="B108" s="2" t="str">
        <x:v>BC4</x:v>
      </x:c>
      <x:c r="C108" s="11" t="str">
        <x:v>304</x:v>
      </x:c>
      <x:c r="D108" s="10" t="str">
        <x:v>FR2090_SCI MANON</x:v>
      </x:c>
      <x:c r="E108" s="12" t="str">
        <x:v>HS2090</x:v>
      </x:c>
      <x:c r="F108" s="10" t="str">
        <x:v>SCI MANON — REALISATION BAT D &amp; EXT_TOULOUSE</x:v>
      </x:c>
      <x:c r="G108" s="2" t="str">
        <x:v>Importado</x:v>
      </x:c>
      <x:c r="H108" s="2" t="n">
        <x:v>33</x:v>
      </x:c>
      <x:c r="I108" s="10" t="str"/>
    </x:row>
    <x:row r="109" ht="32" customHeight="1">
      <x:c r="A109" s="9" t="d">
        <x:v>2026-09-09T00:00:00.000Z</x:v>
      </x:c>
      <x:c r="B109" s="2" t="str">
        <x:v>BC5</x:v>
      </x:c>
      <x:c r="C109" s="11" t="str">
        <x:v>305</x:v>
      </x:c>
      <x:c r="D109" s="10" t="str">
        <x:v>FR1970_Plat logistique SEGRO</x:v>
      </x:c>
      <x:c r="E109" s="12" t="str">
        <x:v>HS1970</x:v>
      </x:c>
      <x:c r="F109" s="10" t="str">
        <x:v>QUARTUS LOGISTIQUE — Plat logistique SEGRO_ Ferrières</x:v>
      </x:c>
      <x:c r="G109" s="2" t="str">
        <x:v>Importado</x:v>
      </x:c>
      <x:c r="H109" s="2" t="n">
        <x:v>33</x:v>
      </x:c>
      <x:c r="I109" s="10" t="str"/>
    </x:row>
    <x:row r="110" ht="32" customHeight="1">
      <x:c r="A110" s="9" t="d">
        <x:v>2026-09-09T00:00:00.000Z</x:v>
      </x:c>
      <x:c r="B110" s="2" t="str">
        <x:v>BC6 Ferro</x:v>
      </x:c>
      <x:c r="C110" s="11" t="str">
        <x:v>306</x:v>
      </x:c>
      <x:c r="D110" s="10" t="str">
        <x:v>Nancy intersol</x:v>
      </x:c>
      <x:c r="E110" s="12" t="str"/>
      <x:c r="F110" s="10" t="str"/>
      <x:c r="G110" s="2" t="str">
        <x:v>Não importado</x:v>
      </x:c>
      <x:c r="H110" s="2" t="n">
        <x:v>33</x:v>
      </x:c>
      <x:c r="I110" s="10" t="str">
        <x:v>HS2092 é a proposta principal; nome genérico. Confirmar se é a mesma obra de parking intersol nancy.</x:v>
      </x:c>
    </x:row>
    <x:row r="111" ht="32" customHeight="1">
      <x:c r="A111" s="9" t="d">
        <x:v>2026-09-09T00:00:00.000Z</x:v>
      </x:c>
      <x:c r="B111" s="2" t="str">
        <x:v>BC7 Ferro</x:v>
      </x:c>
      <x:c r="C111" s="11" t="str">
        <x:v>307</x:v>
      </x:c>
      <x:c r="D111" s="10" t="str">
        <x:v>Nancy intersol</x:v>
      </x:c>
      <x:c r="E111" s="12" t="str"/>
      <x:c r="F111" s="10" t="str"/>
      <x:c r="G111" s="2" t="str">
        <x:v>Não importado</x:v>
      </x:c>
      <x:c r="H111" s="2" t="n">
        <x:v>33</x:v>
      </x:c>
      <x:c r="I111" s="10" t="str">
        <x:v>HS2092 é a proposta principal; nome genérico. Confirmar se é a mesma obra de parking intersol nancy.</x:v>
      </x:c>
    </x:row>
    <x:row r="112" ht="32" customHeight="1">
      <x:c r="A112" s="9" t="d">
        <x:v>2026-09-10T00:00:00.000Z</x:v>
      </x:c>
      <x:c r="B112" s="2" t="str">
        <x:v>BC1</x:v>
      </x:c>
      <x:c r="C112" s="11" t="str">
        <x:v>301</x:v>
      </x:c>
      <x:c r="D112" s="10" t="str">
        <x:v>FR2053_ARGAN_TOURNAN EN BRIE</x:v>
      </x:c>
      <x:c r="E112" s="12" t="str">
        <x:v>HS2053</x:v>
      </x:c>
      <x:c r="F112" s="10" t="str">
        <x:v>SAS IDEC — FR | ARGAN_TOURNAN EN BRIE</x:v>
      </x:c>
      <x:c r="G112" s="2" t="str">
        <x:v>Importado</x:v>
      </x:c>
      <x:c r="H112" s="2" t="n">
        <x:v>35</x:v>
      </x:c>
      <x:c r="I112" s="10" t="str"/>
    </x:row>
    <x:row r="113" ht="32" customHeight="1">
      <x:c r="A113" s="9" t="d">
        <x:v>2026-09-10T00:00:00.000Z</x:v>
      </x:c>
      <x:c r="B113" s="2" t="str">
        <x:v>BC2</x:v>
      </x:c>
      <x:c r="C113" s="11" t="str">
        <x:v>302</x:v>
      </x:c>
      <x:c r="D113" s="10" t="str">
        <x:v>FR1970_Plat logistique SEGRO</x:v>
      </x:c>
      <x:c r="E113" s="12" t="str">
        <x:v>HS1970</x:v>
      </x:c>
      <x:c r="F113" s="10" t="str">
        <x:v>QUARTUS LOGISTIQUE — Plat logistique SEGRO_ Ferrières</x:v>
      </x:c>
      <x:c r="G113" s="2" t="str">
        <x:v>Importado</x:v>
      </x:c>
      <x:c r="H113" s="2" t="n">
        <x:v>37</x:v>
      </x:c>
      <x:c r="I113" s="10" t="str">
        <x:v>Mais de uma referência para esta equipa no mesmo dia; manter associações distintas.</x:v>
      </x:c>
    </x:row>
    <x:row r="114" ht="32" customHeight="1">
      <x:c r="A114" s="9" t="d">
        <x:v>2026-09-10T00:00:00.000Z</x:v>
      </x:c>
      <x:c r="B114" s="2" t="str">
        <x:v>BC2</x:v>
      </x:c>
      <x:c r="C114" s="11" t="str">
        <x:v>302</x:v>
      </x:c>
      <x:c r="D114" s="10" t="str">
        <x:v>FR2053_ARGAN_TOURNAN EN BRIE</x:v>
      </x:c>
      <x:c r="E114" s="12" t="str">
        <x:v>HS2053</x:v>
      </x:c>
      <x:c r="F114" s="10" t="str">
        <x:v>SAS IDEC — FR | ARGAN_TOURNAN EN BRIE</x:v>
      </x:c>
      <x:c r="G114" s="2" t="str">
        <x:v>Importado</x:v>
      </x:c>
      <x:c r="H114" s="2" t="n">
        <x:v>38</x:v>
      </x:c>
      <x:c r="I114" s="10" t="str">
        <x:v>Mais de uma referência para esta equipa no mesmo dia; manter associações distintas.</x:v>
      </x:c>
    </x:row>
    <x:row r="115" ht="32" customHeight="1">
      <x:c r="A115" s="9" t="d">
        <x:v>2026-09-10T00:00:00.000Z</x:v>
      </x:c>
      <x:c r="B115" s="2" t="str">
        <x:v>BC3</x:v>
      </x:c>
      <x:c r="C115" s="11" t="str">
        <x:v>303</x:v>
      </x:c>
      <x:c r="D115" s="10" t="str">
        <x:v>FR2201_Extension SODEXO_MOISSY CRAMAYEL</x:v>
      </x:c>
      <x:c r="E115" s="12" t="str">
        <x:v>HS2201</x:v>
      </x:c>
      <x:c r="F115" s="10" t="str">
        <x:v>SAS CECIA — Extension SODEXO_MOISSY CRAMAYEL</x:v>
      </x:c>
      <x:c r="G115" s="2" t="str">
        <x:v>Importado</x:v>
      </x:c>
      <x:c r="H115" s="2" t="n">
        <x:v>34</x:v>
      </x:c>
      <x:c r="I115" s="10" t="str"/>
    </x:row>
    <x:row r="116" ht="32" customHeight="1">
      <x:c r="A116" s="9" t="d">
        <x:v>2026-09-10T00:00:00.000Z</x:v>
      </x:c>
      <x:c r="B116" s="2" t="str">
        <x:v>BC4</x:v>
      </x:c>
      <x:c r="C116" s="11" t="str">
        <x:v>304</x:v>
      </x:c>
      <x:c r="D116" s="10" t="str">
        <x:v>FR2090_SCI MANON</x:v>
      </x:c>
      <x:c r="E116" s="12" t="str">
        <x:v>HS2090</x:v>
      </x:c>
      <x:c r="F116" s="10" t="str">
        <x:v>SCI MANON — REALISATION BAT D &amp; EXT_TOULOUSE</x:v>
      </x:c>
      <x:c r="G116" s="2" t="str">
        <x:v>Importado</x:v>
      </x:c>
      <x:c r="H116" s="2" t="n">
        <x:v>34</x:v>
      </x:c>
      <x:c r="I116" s="10" t="str"/>
    </x:row>
    <x:row r="117" ht="32" customHeight="1">
      <x:c r="A117" s="9" t="d">
        <x:v>2026-09-10T00:00:00.000Z</x:v>
      </x:c>
      <x:c r="B117" s="2" t="str">
        <x:v>BC5</x:v>
      </x:c>
      <x:c r="C117" s="11" t="str">
        <x:v>305</x:v>
      </x:c>
      <x:c r="D117" s="10" t="str">
        <x:v>FR1970_Plat logistique SEGRO</x:v>
      </x:c>
      <x:c r="E117" s="12" t="str">
        <x:v>HS1970</x:v>
      </x:c>
      <x:c r="F117" s="10" t="str">
        <x:v>QUARTUS LOGISTIQUE — Plat logistique SEGRO_ Ferrières</x:v>
      </x:c>
      <x:c r="G117" s="2" t="str">
        <x:v>Importado</x:v>
      </x:c>
      <x:c r="H117" s="2" t="n">
        <x:v>34</x:v>
      </x:c>
      <x:c r="I117" s="10" t="str"/>
    </x:row>
    <x:row r="118" ht="32" customHeight="1">
      <x:c r="A118" s="9" t="d">
        <x:v>2026-09-10T00:00:00.000Z</x:v>
      </x:c>
      <x:c r="B118" s="2" t="str">
        <x:v>BC6 Ferro</x:v>
      </x:c>
      <x:c r="C118" s="11" t="str">
        <x:v>306</x:v>
      </x:c>
      <x:c r="D118" s="10" t="str">
        <x:v>Nancy intersol</x:v>
      </x:c>
      <x:c r="E118" s="12" t="str"/>
      <x:c r="F118" s="10" t="str"/>
      <x:c r="G118" s="2" t="str">
        <x:v>Não importado</x:v>
      </x:c>
      <x:c r="H118" s="2" t="n">
        <x:v>34</x:v>
      </x:c>
      <x:c r="I118" s="10" t="str">
        <x:v>HS2092 é a proposta principal; nome genérico. Confirmar se é a mesma obra de parking intersol nancy.</x:v>
      </x:c>
    </x:row>
    <x:row r="119" ht="32" customHeight="1">
      <x:c r="A119" s="9" t="d">
        <x:v>2026-09-10T00:00:00.000Z</x:v>
      </x:c>
      <x:c r="B119" s="2" t="str">
        <x:v>BC7 Ferro</x:v>
      </x:c>
      <x:c r="C119" s="11" t="str">
        <x:v>307</x:v>
      </x:c>
      <x:c r="D119" s="10" t="str">
        <x:v>Nancy intersol</x:v>
      </x:c>
      <x:c r="E119" s="12" t="str"/>
      <x:c r="F119" s="10" t="str"/>
      <x:c r="G119" s="2" t="str">
        <x:v>Não importado</x:v>
      </x:c>
      <x:c r="H119" s="2" t="n">
        <x:v>34</x:v>
      </x:c>
      <x:c r="I119" s="10" t="str">
        <x:v>HS2092 é a proposta principal; nome genérico. Confirmar se é a mesma obra de parking intersol nancy.</x:v>
      </x:c>
    </x:row>
    <x:row r="120" ht="32" customHeight="1">
      <x:c r="A120" s="9" t="d">
        <x:v>2026-09-11T00:00:00.000Z</x:v>
      </x:c>
      <x:c r="B120" s="2" t="str">
        <x:v>BC1</x:v>
      </x:c>
      <x:c r="C120" s="11" t="str">
        <x:v>301</x:v>
      </x:c>
      <x:c r="D120" s="10" t="str">
        <x:v>FR2053_ARGAN_TOURNAN EN BRIE</x:v>
      </x:c>
      <x:c r="E120" s="12" t="str">
        <x:v>HS2053</x:v>
      </x:c>
      <x:c r="F120" s="10" t="str">
        <x:v>SAS IDEC — FR | ARGAN_TOURNAN EN BRIE</x:v>
      </x:c>
      <x:c r="G120" s="2" t="str">
        <x:v>Importado</x:v>
      </x:c>
      <x:c r="H120" s="2" t="n">
        <x:v>36</x:v>
      </x:c>
      <x:c r="I120" s="10" t="str"/>
    </x:row>
    <x:row r="121" ht="32" customHeight="1">
      <x:c r="A121" s="9" t="d">
        <x:v>2026-09-11T00:00:00.000Z</x:v>
      </x:c>
      <x:c r="B121" s="2" t="str">
        <x:v>BC2</x:v>
      </x:c>
      <x:c r="C121" s="11" t="str">
        <x:v>302</x:v>
      </x:c>
      <x:c r="D121" s="10" t="str">
        <x:v>FR1970_Plat logistique SEGRO</x:v>
      </x:c>
      <x:c r="E121" s="12" t="str">
        <x:v>HS1970</x:v>
      </x:c>
      <x:c r="F121" s="10" t="str">
        <x:v>QUARTUS LOGISTIQUE — Plat logistique SEGRO_ Ferrières</x:v>
      </x:c>
      <x:c r="G121" s="2" t="str">
        <x:v>Importado</x:v>
      </x:c>
      <x:c r="H121" s="2" t="n">
        <x:v>39</x:v>
      </x:c>
      <x:c r="I121" s="10" t="str">
        <x:v>Mais de uma referência para esta equipa no mesmo dia; manter associações distintas.</x:v>
      </x:c>
    </x:row>
    <x:row r="122" ht="48" customHeight="1">
      <x:c r="A122" s="9" t="d">
        <x:v>2026-09-11T00:00:00.000Z</x:v>
      </x:c>
      <x:c r="B122" s="2" t="str">
        <x:v>BC2</x:v>
      </x:c>
      <x:c r="C122" s="11" t="str">
        <x:v>302</x:v>
      </x:c>
      <x:c r="D122" s="10" t="str">
        <x:v>Quartus Courtenay</x:v>
      </x:c>
      <x:c r="E122" s="12" t="str"/>
      <x:c r="F122" s="10" t="str"/>
      <x:c r="G122" s="2" t="str">
        <x:v>Não importado</x:v>
      </x:c>
      <x:c r="H122" s="2" t="n">
        <x:v>40</x:v>
      </x:c>
      <x:c r="I122" s="10" t="str">
        <x:v>Mais de uma referência para esta equipa no mesmo dia; manter associações distintas. Sugestão por nome e localidade: HS1969. Sem código no Excel nem referência explicitamente definida; não importar.</x:v>
      </x:c>
    </x:row>
    <x:row r="123" ht="32" customHeight="1">
      <x:c r="A123" s="9" t="d">
        <x:v>2026-09-11T00:00:00.000Z</x:v>
      </x:c>
      <x:c r="B123" s="2" t="str">
        <x:v>BC3</x:v>
      </x:c>
      <x:c r="C123" s="11" t="str">
        <x:v>303</x:v>
      </x:c>
      <x:c r="D123" s="10" t="str">
        <x:v>FR2201_Extension SODEXO_MOISSY CRAMAYEL</x:v>
      </x:c>
      <x:c r="E123" s="12" t="str">
        <x:v>HS2201</x:v>
      </x:c>
      <x:c r="F123" s="10" t="str">
        <x:v>SAS CECIA — Extension SODEXO_MOISSY CRAMAYEL</x:v>
      </x:c>
      <x:c r="G123" s="2" t="str">
        <x:v>Importado</x:v>
      </x:c>
      <x:c r="H123" s="2" t="n">
        <x:v>35</x:v>
      </x:c>
      <x:c r="I123" s="10" t="str"/>
    </x:row>
    <x:row r="124" ht="32" customHeight="1">
      <x:c r="A124" s="9" t="d">
        <x:v>2026-09-11T00:00:00.000Z</x:v>
      </x:c>
      <x:c r="B124" s="2" t="str">
        <x:v>BC4</x:v>
      </x:c>
      <x:c r="C124" s="11" t="str">
        <x:v>304</x:v>
      </x:c>
      <x:c r="D124" s="10" t="str">
        <x:v>FR2090_SCI MANON</x:v>
      </x:c>
      <x:c r="E124" s="12" t="str">
        <x:v>HS2090</x:v>
      </x:c>
      <x:c r="F124" s="10" t="str">
        <x:v>SCI MANON — REALISATION BAT D &amp; EXT_TOULOUSE</x:v>
      </x:c>
      <x:c r="G124" s="2" t="str">
        <x:v>Importado</x:v>
      </x:c>
      <x:c r="H124" s="2" t="n">
        <x:v>35</x:v>
      </x:c>
      <x:c r="I124" s="10" t="str"/>
    </x:row>
    <x:row r="125" ht="32" customHeight="1">
      <x:c r="A125" s="9" t="d">
        <x:v>2026-09-11T00:00:00.000Z</x:v>
      </x:c>
      <x:c r="B125" s="2" t="str">
        <x:v>BC5</x:v>
      </x:c>
      <x:c r="C125" s="11" t="str">
        <x:v>305</x:v>
      </x:c>
      <x:c r="D125" s="10" t="str">
        <x:v>FR1970_Plat logistique SEGRO</x:v>
      </x:c>
      <x:c r="E125" s="12" t="str">
        <x:v>HS1970</x:v>
      </x:c>
      <x:c r="F125" s="10" t="str">
        <x:v>QUARTUS LOGISTIQUE — Plat logistique SEGRO_ Ferrières</x:v>
      </x:c>
      <x:c r="G125" s="2" t="str">
        <x:v>Importado</x:v>
      </x:c>
      <x:c r="H125" s="2" t="n">
        <x:v>35</x:v>
      </x:c>
      <x:c r="I125" s="10" t="str">
        <x:v>Mais de uma referência para esta equipa no mesmo dia; manter associações distintas.</x:v>
      </x:c>
    </x:row>
    <x:row r="126" ht="48" customHeight="1">
      <x:c r="A126" s="9" t="d">
        <x:v>2026-09-11T00:00:00.000Z</x:v>
      </x:c>
      <x:c r="B126" s="2" t="str">
        <x:v>BC5</x:v>
      </x:c>
      <x:c r="C126" s="11" t="str">
        <x:v>305</x:v>
      </x:c>
      <x:c r="D126" s="10" t="str">
        <x:v>Quartus Courtenay</x:v>
      </x:c>
      <x:c r="E126" s="12" t="str"/>
      <x:c r="F126" s="10" t="str"/>
      <x:c r="G126" s="2" t="str">
        <x:v>Não importado</x:v>
      </x:c>
      <x:c r="H126" s="2" t="n">
        <x:v>36</x:v>
      </x:c>
      <x:c r="I126" s="10" t="str">
        <x:v>Mais de uma referência para esta equipa no mesmo dia; manter associações distintas. Sugestão por nome e localidade: HS1969. Sem código no Excel nem referência explicitamente definida; não importar.</x:v>
      </x:c>
    </x:row>
    <x:row r="127" ht="32" customHeight="1">
      <x:c r="A127" s="9" t="d">
        <x:v>2026-09-11T00:00:00.000Z</x:v>
      </x:c>
      <x:c r="B127" s="2" t="str">
        <x:v>BC6 Ferro</x:v>
      </x:c>
      <x:c r="C127" s="11" t="str">
        <x:v>306</x:v>
      </x:c>
      <x:c r="D127" s="10" t="str">
        <x:v>Nancy intersol</x:v>
      </x:c>
      <x:c r="E127" s="12" t="str"/>
      <x:c r="F127" s="10" t="str"/>
      <x:c r="G127" s="2" t="str">
        <x:v>Não importado</x:v>
      </x:c>
      <x:c r="H127" s="2" t="n">
        <x:v>35</x:v>
      </x:c>
      <x:c r="I127" s="10" t="str">
        <x:v>HS2092 é a proposta principal; nome genérico. Confirmar se é a mesma obra de parking intersol nancy.</x:v>
      </x:c>
    </x:row>
    <x:row r="128" ht="32" customHeight="1">
      <x:c r="A128" s="9" t="d">
        <x:v>2026-09-11T00:00:00.000Z</x:v>
      </x:c>
      <x:c r="B128" s="2" t="str">
        <x:v>BC7 Ferro</x:v>
      </x:c>
      <x:c r="C128" s="11" t="str">
        <x:v>307</x:v>
      </x:c>
      <x:c r="D128" s="10" t="str">
        <x:v>Nancy intersol</x:v>
      </x:c>
      <x:c r="E128" s="12" t="str"/>
      <x:c r="F128" s="10" t="str"/>
      <x:c r="G128" s="2" t="str">
        <x:v>Não importado</x:v>
      </x:c>
      <x:c r="H128" s="2" t="n">
        <x:v>35</x:v>
      </x:c>
      <x:c r="I128" s="10" t="str">
        <x:v>HS2092 é a proposta principal; nome genérico. Confirmar se é a mesma obra de parking intersol nancy.</x:v>
      </x:c>
    </x:row>
    <x:row r="129" ht="32" customHeight="1">
      <x:c r="A129" s="9" t="d">
        <x:v>2026-09-12T00:00:00.000Z</x:v>
      </x:c>
      <x:c r="B129" s="2" t="str">
        <x:v>BC2</x:v>
      </x:c>
      <x:c r="C129" s="11" t="str">
        <x:v>302</x:v>
      </x:c>
      <x:c r="D129" s="10" t="str">
        <x:v>viagem montargis/moulusse</x:v>
      </x:c>
      <x:c r="E129" s="12" t="str"/>
      <x:c r="F129" s="10" t="str"/>
      <x:c r="G129" s="2" t="str">
        <x:v>Deslocação</x:v>
      </x:c>
      <x:c r="H129" s="2" t="n">
        <x:v>41</x:v>
      </x:c>
      <x:c r="I129" s="10" t="str">
        <x:v>Deslocação sem obra identificada; não criar associação a uma obra.</x:v>
      </x:c>
    </x:row>
    <x:row r="130" ht="32" customHeight="1">
      <x:c r="A130" s="9" t="d">
        <x:v>2026-09-12T00:00:00.000Z</x:v>
      </x:c>
      <x:c r="B130" s="2" t="str">
        <x:v>BC4</x:v>
      </x:c>
      <x:c r="C130" s="11" t="str">
        <x:v>304</x:v>
      </x:c>
      <x:c r="D130" s="10" t="str">
        <x:v>FR2090_SCI MANON</x:v>
      </x:c>
      <x:c r="E130" s="12" t="str">
        <x:v>HS2090</x:v>
      </x:c>
      <x:c r="F130" s="10" t="str">
        <x:v>SCI MANON — REALISATION BAT D &amp; EXT_TOULOUSE</x:v>
      </x:c>
      <x:c r="G130" s="2" t="str">
        <x:v>Importado</x:v>
      </x:c>
      <x:c r="H130" s="2" t="n">
        <x:v>36</x:v>
      </x:c>
      <x:c r="I130" s="10" t="str"/>
    </x:row>
    <x:row r="131" ht="32" customHeight="1">
      <x:c r="A131" s="9" t="d">
        <x:v>2026-09-12T00:00:00.000Z</x:v>
      </x:c>
      <x:c r="B131" s="2" t="str">
        <x:v>BC5</x:v>
      </x:c>
      <x:c r="C131" s="11" t="str">
        <x:v>305</x:v>
      </x:c>
      <x:c r="D131" s="10" t="str">
        <x:v>FR1970_Plat logistique SEGRO</x:v>
      </x:c>
      <x:c r="E131" s="12" t="str">
        <x:v>HS1970</x:v>
      </x:c>
      <x:c r="F131" s="10" t="str">
        <x:v>QUARTUS LOGISTIQUE — Plat logistique SEGRO_ Ferrières</x:v>
      </x:c>
      <x:c r="G131" s="2" t="str">
        <x:v>Importado</x:v>
      </x:c>
      <x:c r="H131" s="2" t="n">
        <x:v>37</x:v>
      </x:c>
      <x:c r="I131" s="10" t="str"/>
    </x:row>
    <x:row r="132" ht="32" customHeight="1">
      <x:c r="A132" s="9" t="d">
        <x:v>2026-09-12T00:00:00.000Z</x:v>
      </x:c>
      <x:c r="B132" s="2" t="str">
        <x:v>BC6 Ferro</x:v>
      </x:c>
      <x:c r="C132" s="11" t="str">
        <x:v>306</x:v>
      </x:c>
      <x:c r="D132" s="10" t="str">
        <x:v>Nancy intersol</x:v>
      </x:c>
      <x:c r="E132" s="12" t="str"/>
      <x:c r="F132" s="10" t="str"/>
      <x:c r="G132" s="2" t="str">
        <x:v>Não importado</x:v>
      </x:c>
      <x:c r="H132" s="2" t="n">
        <x:v>36</x:v>
      </x:c>
      <x:c r="I132" s="10" t="str">
        <x:v>HS2092 é a proposta principal; nome genérico. Confirmar se é a mesma obra de parking intersol nancy.</x:v>
      </x:c>
    </x:row>
    <x:row r="133" ht="32" customHeight="1">
      <x:c r="A133" s="9" t="d">
        <x:v>2026-09-12T00:00:00.000Z</x:v>
      </x:c>
      <x:c r="B133" s="2" t="str">
        <x:v>BC7 Ferro</x:v>
      </x:c>
      <x:c r="C133" s="11" t="str">
        <x:v>307</x:v>
      </x:c>
      <x:c r="D133" s="10" t="str">
        <x:v>Nancy intersol</x:v>
      </x:c>
      <x:c r="E133" s="12" t="str"/>
      <x:c r="F133" s="10" t="str"/>
      <x:c r="G133" s="2" t="str">
        <x:v>Não importado</x:v>
      </x:c>
      <x:c r="H133" s="2" t="n">
        <x:v>36</x:v>
      </x:c>
      <x:c r="I133" s="10" t="str">
        <x:v>HS2092 é a proposta principal; nome genérico. Confirmar se é a mesma obra de parking intersol nancy.</x:v>
      </x:c>
    </x:row>
    <x:row r="134" ht="32" customHeight="1">
      <x:c r="A134" s="9" t="d">
        <x:v>2026-09-14T00:00:00.000Z</x:v>
      </x:c>
      <x:c r="B134" s="2" t="str">
        <x:v>BC1</x:v>
      </x:c>
      <x:c r="C134" s="11" t="str">
        <x:v>301</x:v>
      </x:c>
      <x:c r="D134" s="10" t="str">
        <x:v>FR2053_ARGAN_TOURNAN EN BRIE</x:v>
      </x:c>
      <x:c r="E134" s="12" t="str">
        <x:v>HS2053</x:v>
      </x:c>
      <x:c r="F134" s="10" t="str">
        <x:v>SAS IDEC — FR | ARGAN_TOURNAN EN BRIE</x:v>
      </x:c>
      <x:c r="G134" s="2" t="str">
        <x:v>Importado</x:v>
      </x:c>
      <x:c r="H134" s="2" t="n">
        <x:v>39</x:v>
      </x:c>
      <x:c r="I134" s="10" t="str"/>
    </x:row>
    <x:row r="135" ht="32" customHeight="1">
      <x:c r="A135" s="9" t="d">
        <x:v>2026-09-14T00:00:00.000Z</x:v>
      </x:c>
      <x:c r="B135" s="2" t="str">
        <x:v>BC2</x:v>
      </x:c>
      <x:c r="C135" s="11" t="str">
        <x:v>302</x:v>
      </x:c>
      <x:c r="D135" s="10" t="str">
        <x:v>FR2047_Plat log  Panattoni_Huningue</x:v>
      </x:c>
      <x:c r="E135" s="12" t="str">
        <x:v>HS2047</x:v>
      </x:c>
      <x:c r="F135" s="10" t="str">
        <x:v>GSE — Plat log  Panattoni_Huningue</x:v>
      </x:c>
      <x:c r="G135" s="2" t="str">
        <x:v>Importado</x:v>
      </x:c>
      <x:c r="H135" s="2" t="n">
        <x:v>43</x:v>
      </x:c>
      <x:c r="I135" s="10" t="str"/>
    </x:row>
    <x:row r="136" ht="32" customHeight="1">
      <x:c r="A136" s="9" t="d">
        <x:v>2026-09-14T00:00:00.000Z</x:v>
      </x:c>
      <x:c r="B136" s="2" t="str">
        <x:v>BC3</x:v>
      </x:c>
      <x:c r="C136" s="11" t="str">
        <x:v>303</x:v>
      </x:c>
      <x:c r="D136" s="10" t="str">
        <x:v>FR2201_Extension SODEXO_MOISSY CRAMAYEL</x:v>
      </x:c>
      <x:c r="E136" s="12" t="str">
        <x:v>HS2201</x:v>
      </x:c>
      <x:c r="F136" s="10" t="str">
        <x:v>SAS CECIA — Extension SODEXO_MOISSY CRAMAYEL</x:v>
      </x:c>
      <x:c r="G136" s="2" t="str">
        <x:v>Importado</x:v>
      </x:c>
      <x:c r="H136" s="2" t="n">
        <x:v>38</x:v>
      </x:c>
      <x:c r="I136" s="10" t="str"/>
    </x:row>
    <x:row r="137" ht="32" customHeight="1">
      <x:c r="A137" s="9" t="d">
        <x:v>2026-09-14T00:00:00.000Z</x:v>
      </x:c>
      <x:c r="B137" s="2" t="str">
        <x:v>BC4</x:v>
      </x:c>
      <x:c r="C137" s="11" t="str">
        <x:v>304</x:v>
      </x:c>
      <x:c r="D137" s="10" t="str">
        <x:v>FR2044_Maison Bray CHANTONNAY</x:v>
      </x:c>
      <x:c r="E137" s="12" t="str">
        <x:v>HS2044</x:v>
      </x:c>
      <x:c r="F137" s="10" t="str">
        <x:v>SAS CECIA — FR | Maison Bray | CHANTONNAY</x:v>
      </x:c>
      <x:c r="G137" s="2" t="str">
        <x:v>Importado</x:v>
      </x:c>
      <x:c r="H137" s="2" t="n">
        <x:v>38</x:v>
      </x:c>
      <x:c r="I137" s="10" t="str">
        <x:v>Mais de uma referência para esta equipa no mesmo dia; manter associações distintas.</x:v>
      </x:c>
    </x:row>
    <x:row r="138" ht="48" customHeight="1">
      <x:c r="A138" s="9" t="d">
        <x:v>2026-09-14T00:00:00.000Z</x:v>
      </x:c>
      <x:c r="B138" s="2" t="str">
        <x:v>BC4</x:v>
      </x:c>
      <x:c r="C138" s="11" t="str">
        <x:v>304</x:v>
      </x:c>
      <x:c r="D138" s="10" t="str">
        <x:v>FR2165_CORSALIS_SORIGNY</x:v>
      </x:c>
      <x:c r="E138" s="12" t="str">
        <x:v>HS2165</x:v>
      </x:c>
      <x:c r="F138" s="10" t="str">
        <x:v>SAS IDEC SANTE — FR | CORSALIS | SORIGNY</x:v>
      </x:c>
      <x:c r="G138" s="2" t="str">
        <x:v>Importado</x:v>
      </x:c>
      <x:c r="H138" s="2" t="n">
        <x:v>39</x:v>
      </x:c>
      <x:c r="I138" s="10" t="str">
        <x:v>Data fora do intervalo cadastrado da obra (2026-05-08 a 2026-07-31); manter a data do Excel. Mais de uma referência para esta equipa no mesmo dia; manter associações distintas.</x:v>
      </x:c>
    </x:row>
    <x:row r="139" ht="32" customHeight="1">
      <x:c r="A139" s="9" t="d">
        <x:v>2026-09-14T00:00:00.000Z</x:v>
      </x:c>
      <x:c r="B139" s="2" t="str">
        <x:v>BC5</x:v>
      </x:c>
      <x:c r="C139" s="11" t="str">
        <x:v>305</x:v>
      </x:c>
      <x:c r="D139" s="10" t="str">
        <x:v>FR1970_Plat logistique SEGRO</x:v>
      </x:c>
      <x:c r="E139" s="12" t="str">
        <x:v>HS1970</x:v>
      </x:c>
      <x:c r="F139" s="10" t="str">
        <x:v>QUARTUS LOGISTIQUE — Plat logistique SEGRO_ Ferrières</x:v>
      </x:c>
      <x:c r="G139" s="2" t="str">
        <x:v>Importado</x:v>
      </x:c>
      <x:c r="H139" s="2" t="n">
        <x:v>39</x:v>
      </x:c>
      <x:c r="I139" s="10" t="str"/>
    </x:row>
    <x:row r="140" ht="32" customHeight="1">
      <x:c r="A140" s="9" t="d">
        <x:v>2026-09-14T00:00:00.000Z</x:v>
      </x:c>
      <x:c r="B140" s="2" t="str">
        <x:v>BC6 Ferro</x:v>
      </x:c>
      <x:c r="C140" s="11" t="str">
        <x:v>306</x:v>
      </x:c>
      <x:c r="D140" s="10" t="str">
        <x:v>FR2056_VIRTUO  BEZONS</x:v>
      </x:c>
      <x:c r="E140" s="12" t="str">
        <x:v>HS2056</x:v>
      </x:c>
      <x:c r="F140" s="10" t="str">
        <x:v>GSE — FR | VIRTUO | BEZONS</x:v>
      </x:c>
      <x:c r="G140" s="2" t="str">
        <x:v>Importado</x:v>
      </x:c>
      <x:c r="H140" s="2" t="n">
        <x:v>38</x:v>
      </x:c>
      <x:c r="I140" s="10" t="str">
        <x:v>Mais de uma referência para esta equipa no mesmo dia; manter associações distintas.</x:v>
      </x:c>
    </x:row>
    <x:row r="141" ht="48" customHeight="1">
      <x:c r="A141" s="9" t="d">
        <x:v>2026-09-14T00:00:00.000Z</x:v>
      </x:c>
      <x:c r="B141" s="2" t="str">
        <x:v>BC6 Ferro</x:v>
      </x:c>
      <x:c r="C141" s="11" t="str">
        <x:v>306</x:v>
      </x:c>
      <x:c r="D141" s="10" t="str">
        <x:v>câmara fria paris ramiro</x:v>
      </x:c>
      <x:c r="E141" s="12" t="str"/>
      <x:c r="F141" s="10" t="str"/>
      <x:c r="G141" s="2" t="str">
        <x:v>Não importado</x:v>
      </x:c>
      <x:c r="H141" s="2" t="n">
        <x:v>39</x:v>
      </x:c>
      <x:c r="I141" s="10" t="str">
        <x:v>Mais de uma referência para esta equipa no mesmo dia; manter associações distintas. Sem correspondência inequívoca por nome, descrição ou localidade. Ramiro Santos não identifica esta obra.</x:v>
      </x:c>
    </x:row>
    <x:row r="142" ht="32" customHeight="1">
      <x:c r="A142" s="9" t="d">
        <x:v>2026-09-14T00:00:00.000Z</x:v>
      </x:c>
      <x:c r="B142" s="2" t="str">
        <x:v>BC7 Ferro</x:v>
      </x:c>
      <x:c r="C142" s="11" t="str">
        <x:v>307</x:v>
      </x:c>
      <x:c r="D142" s="10" t="str">
        <x:v>câmara fria paris ramiro</x:v>
      </x:c>
      <x:c r="E142" s="12" t="str"/>
      <x:c r="F142" s="10" t="str"/>
      <x:c r="G142" s="2" t="str">
        <x:v>Não importado</x:v>
      </x:c>
      <x:c r="H142" s="2" t="n">
        <x:v>38</x:v>
      </x:c>
      <x:c r="I142" s="10" t="str">
        <x:v>Sem correspondência inequívoca por nome, descrição ou localidade. Ramiro Santos não identifica esta obra.</x:v>
      </x:c>
    </x:row>
    <x:row r="143" ht="32" customHeight="1">
      <x:c r="A143" s="9" t="d">
        <x:v>2026-09-15T00:00:00.000Z</x:v>
      </x:c>
      <x:c r="B143" s="2" t="str">
        <x:v>BC1</x:v>
      </x:c>
      <x:c r="C143" s="11" t="str">
        <x:v>301</x:v>
      </x:c>
      <x:c r="D143" s="10" t="str">
        <x:v>FR2053_ARGAN_TOURNAN EN BRIE</x:v>
      </x:c>
      <x:c r="E143" s="12" t="str">
        <x:v>HS2053</x:v>
      </x:c>
      <x:c r="F143" s="10" t="str">
        <x:v>SAS IDEC — FR | ARGAN_TOURNAN EN BRIE</x:v>
      </x:c>
      <x:c r="G143" s="2" t="str">
        <x:v>Importado</x:v>
      </x:c>
      <x:c r="H143" s="2" t="n">
        <x:v>40</x:v>
      </x:c>
      <x:c r="I143" s="10" t="str"/>
    </x:row>
    <x:row r="144" ht="32" customHeight="1">
      <x:c r="A144" s="9" t="d">
        <x:v>2026-09-15T00:00:00.000Z</x:v>
      </x:c>
      <x:c r="B144" s="2" t="str">
        <x:v>BC2</x:v>
      </x:c>
      <x:c r="C144" s="11" t="str">
        <x:v>302</x:v>
      </x:c>
      <x:c r="D144" s="10" t="str">
        <x:v>FR2047_Plat log  Panattoni_Huningue</x:v>
      </x:c>
      <x:c r="E144" s="12" t="str">
        <x:v>HS2047</x:v>
      </x:c>
      <x:c r="F144" s="10" t="str">
        <x:v>GSE — Plat log  Panattoni_Huningue</x:v>
      </x:c>
      <x:c r="G144" s="2" t="str">
        <x:v>Importado</x:v>
      </x:c>
      <x:c r="H144" s="2" t="n">
        <x:v>44</x:v>
      </x:c>
      <x:c r="I144" s="10" t="str"/>
    </x:row>
    <x:row r="145" ht="32" customHeight="1">
      <x:c r="A145" s="9" t="d">
        <x:v>2026-09-15T00:00:00.000Z</x:v>
      </x:c>
      <x:c r="B145" s="2" t="str">
        <x:v>BC3</x:v>
      </x:c>
      <x:c r="C145" s="11" t="str">
        <x:v>303</x:v>
      </x:c>
      <x:c r="D145" s="10" t="str">
        <x:v>FR2201_Extension SODEXO_MOISSY CRAMAYEL</x:v>
      </x:c>
      <x:c r="E145" s="12" t="str">
        <x:v>HS2201</x:v>
      </x:c>
      <x:c r="F145" s="10" t="str">
        <x:v>SAS CECIA — Extension SODEXO_MOISSY CRAMAYEL</x:v>
      </x:c>
      <x:c r="G145" s="2" t="str">
        <x:v>Importado</x:v>
      </x:c>
      <x:c r="H145" s="2" t="n">
        <x:v>39</x:v>
      </x:c>
      <x:c r="I145" s="10" t="str"/>
    </x:row>
    <x:row r="146" ht="32" customHeight="1">
      <x:c r="A146" s="9" t="d">
        <x:v>2026-09-15T00:00:00.000Z</x:v>
      </x:c>
      <x:c r="B146" s="2" t="str">
        <x:v>BC4</x:v>
      </x:c>
      <x:c r="C146" s="11" t="str">
        <x:v>304</x:v>
      </x:c>
      <x:c r="D146" s="10" t="str">
        <x:v>FR2044_Maison Bray CHANTONNAY</x:v>
      </x:c>
      <x:c r="E146" s="12" t="str">
        <x:v>HS2044</x:v>
      </x:c>
      <x:c r="F146" s="10" t="str">
        <x:v>SAS CECIA — FR | Maison Bray | CHANTONNAY</x:v>
      </x:c>
      <x:c r="G146" s="2" t="str">
        <x:v>Importado</x:v>
      </x:c>
      <x:c r="H146" s="2" t="n">
        <x:v>40</x:v>
      </x:c>
      <x:c r="I146" s="10" t="str"/>
    </x:row>
    <x:row r="147" ht="32" customHeight="1">
      <x:c r="A147" s="9" t="d">
        <x:v>2026-09-15T00:00:00.000Z</x:v>
      </x:c>
      <x:c r="B147" s="2" t="str">
        <x:v>BC5</x:v>
      </x:c>
      <x:c r="C147" s="11" t="str">
        <x:v>305</x:v>
      </x:c>
      <x:c r="D147" s="10" t="str">
        <x:v>FR1970_Plat logistique SEGRO</x:v>
      </x:c>
      <x:c r="E147" s="12" t="str">
        <x:v>HS1970</x:v>
      </x:c>
      <x:c r="F147" s="10" t="str">
        <x:v>QUARTUS LOGISTIQUE — Plat logistique SEGRO_ Ferrières</x:v>
      </x:c>
      <x:c r="G147" s="2" t="str">
        <x:v>Importado</x:v>
      </x:c>
      <x:c r="H147" s="2" t="n">
        <x:v>40</x:v>
      </x:c>
      <x:c r="I147" s="10" t="str"/>
    </x:row>
    <x:row r="148" ht="32" customHeight="1">
      <x:c r="A148" s="9" t="d">
        <x:v>2026-09-15T00:00:00.000Z</x:v>
      </x:c>
      <x:c r="B148" s="2" t="str">
        <x:v>BC6 Ferro</x:v>
      </x:c>
      <x:c r="C148" s="11" t="str">
        <x:v>306</x:v>
      </x:c>
      <x:c r="D148" s="10" t="str">
        <x:v>FR2056_VIRTUO  BEZONS</x:v>
      </x:c>
      <x:c r="E148" s="12" t="str">
        <x:v>HS2056</x:v>
      </x:c>
      <x:c r="F148" s="10" t="str">
        <x:v>GSE — FR | VIRTUO | BEZONS</x:v>
      </x:c>
      <x:c r="G148" s="2" t="str">
        <x:v>Importado</x:v>
      </x:c>
      <x:c r="H148" s="2" t="n">
        <x:v>40</x:v>
      </x:c>
      <x:c r="I148" s="10" t="str">
        <x:v>Mais de uma referência para esta equipa no mesmo dia; manter associações distintas.</x:v>
      </x:c>
    </x:row>
    <x:row r="149" ht="48" customHeight="1">
      <x:c r="A149" s="9" t="d">
        <x:v>2026-09-15T00:00:00.000Z</x:v>
      </x:c>
      <x:c r="B149" s="2" t="str">
        <x:v>BC6 Ferro</x:v>
      </x:c>
      <x:c r="C149" s="11" t="str">
        <x:v>306</x:v>
      </x:c>
      <x:c r="D149" s="10" t="str">
        <x:v>câmara fria paris ramiro</x:v>
      </x:c>
      <x:c r="E149" s="12" t="str"/>
      <x:c r="F149" s="10" t="str"/>
      <x:c r="G149" s="2" t="str">
        <x:v>Não importado</x:v>
      </x:c>
      <x:c r="H149" s="2" t="n">
        <x:v>41</x:v>
      </x:c>
      <x:c r="I149" s="10" t="str">
        <x:v>Mais de uma referência para esta equipa no mesmo dia; manter associações distintas. Sem correspondência inequívoca por nome, descrição ou localidade. Ramiro Santos não identifica esta obra.</x:v>
      </x:c>
    </x:row>
    <x:row r="150" ht="32" customHeight="1">
      <x:c r="A150" s="9" t="d">
        <x:v>2026-09-15T00:00:00.000Z</x:v>
      </x:c>
      <x:c r="B150" s="2" t="str">
        <x:v>BC7 Ferro</x:v>
      </x:c>
      <x:c r="C150" s="11" t="str">
        <x:v>307</x:v>
      </x:c>
      <x:c r="D150" s="10" t="str">
        <x:v>câmara fria paris ramiro</x:v>
      </x:c>
      <x:c r="E150" s="12" t="str"/>
      <x:c r="F150" s="10" t="str"/>
      <x:c r="G150" s="2" t="str">
        <x:v>Não importado</x:v>
      </x:c>
      <x:c r="H150" s="2" t="n">
        <x:v>39</x:v>
      </x:c>
      <x:c r="I150" s="10" t="str">
        <x:v>Sem correspondência inequívoca por nome, descrição ou localidade. Ramiro Santos não identifica esta obra.</x:v>
      </x:c>
    </x:row>
    <x:row r="151" ht="32" customHeight="1">
      <x:c r="A151" s="9" t="d">
        <x:v>2026-09-16T00:00:00.000Z</x:v>
      </x:c>
      <x:c r="B151" s="2" t="str">
        <x:v>BC1</x:v>
      </x:c>
      <x:c r="C151" s="11" t="str">
        <x:v>301</x:v>
      </x:c>
      <x:c r="D151" s="10" t="str">
        <x:v>FR2053_ARGAN_TOURNAN EN BRIE</x:v>
      </x:c>
      <x:c r="E151" s="12" t="str">
        <x:v>HS2053</x:v>
      </x:c>
      <x:c r="F151" s="10" t="str">
        <x:v>SAS IDEC — FR | ARGAN_TOURNAN EN BRIE</x:v>
      </x:c>
      <x:c r="G151" s="2" t="str">
        <x:v>Importado</x:v>
      </x:c>
      <x:c r="H151" s="2" t="n">
        <x:v>41</x:v>
      </x:c>
      <x:c r="I151" s="10" t="str"/>
    </x:row>
    <x:row r="152" ht="32" customHeight="1">
      <x:c r="A152" s="9" t="d">
        <x:v>2026-09-16T00:00:00.000Z</x:v>
      </x:c>
      <x:c r="B152" s="2" t="str">
        <x:v>BC2</x:v>
      </x:c>
      <x:c r="C152" s="11" t="str">
        <x:v>302</x:v>
      </x:c>
      <x:c r="D152" s="10" t="str">
        <x:v>FR2047_Plat log  Panattoni_Huningue</x:v>
      </x:c>
      <x:c r="E152" s="12" t="str">
        <x:v>HS2047</x:v>
      </x:c>
      <x:c r="F152" s="10" t="str">
        <x:v>GSE — Plat log  Panattoni_Huningue</x:v>
      </x:c>
      <x:c r="G152" s="2" t="str">
        <x:v>Importado</x:v>
      </x:c>
      <x:c r="H152" s="2" t="n">
        <x:v>45</x:v>
      </x:c>
      <x:c r="I152" s="10" t="str"/>
    </x:row>
    <x:row r="153" ht="32" customHeight="1">
      <x:c r="A153" s="9" t="d">
        <x:v>2026-09-16T00:00:00.000Z</x:v>
      </x:c>
      <x:c r="B153" s="2" t="str">
        <x:v>BC3</x:v>
      </x:c>
      <x:c r="C153" s="11" t="str">
        <x:v>303</x:v>
      </x:c>
      <x:c r="D153" s="10" t="str">
        <x:v>FR2201_Extension SODEXO_MOISSY CRAMAYEL</x:v>
      </x:c>
      <x:c r="E153" s="12" t="str">
        <x:v>HS2201</x:v>
      </x:c>
      <x:c r="F153" s="10" t="str">
        <x:v>SAS CECIA — Extension SODEXO_MOISSY CRAMAYEL</x:v>
      </x:c>
      <x:c r="G153" s="2" t="str">
        <x:v>Importado</x:v>
      </x:c>
      <x:c r="H153" s="2" t="n">
        <x:v>40</x:v>
      </x:c>
      <x:c r="I153" s="10" t="str"/>
    </x:row>
    <x:row r="154" ht="32" customHeight="1">
      <x:c r="A154" s="9" t="d">
        <x:v>2026-09-16T00:00:00.000Z</x:v>
      </x:c>
      <x:c r="B154" s="2" t="str">
        <x:v>BC4</x:v>
      </x:c>
      <x:c r="C154" s="11" t="str">
        <x:v>304</x:v>
      </x:c>
      <x:c r="D154" s="10" t="str">
        <x:v>FR2044_Maison Bray CHANTONNAY</x:v>
      </x:c>
      <x:c r="E154" s="12" t="str">
        <x:v>HS2044</x:v>
      </x:c>
      <x:c r="F154" s="10" t="str">
        <x:v>SAS CECIA — FR | Maison Bray | CHANTONNAY</x:v>
      </x:c>
      <x:c r="G154" s="2" t="str">
        <x:v>Importado</x:v>
      </x:c>
      <x:c r="H154" s="2" t="n">
        <x:v>41</x:v>
      </x:c>
      <x:c r="I154" s="10" t="str"/>
    </x:row>
    <x:row r="155" ht="32" customHeight="1">
      <x:c r="A155" s="9" t="d">
        <x:v>2026-09-16T00:00:00.000Z</x:v>
      </x:c>
      <x:c r="B155" s="2" t="str">
        <x:v>BC5</x:v>
      </x:c>
      <x:c r="C155" s="11" t="str">
        <x:v>305</x:v>
      </x:c>
      <x:c r="D155" s="10" t="str">
        <x:v>FR1970_Plat logistique SEGRO</x:v>
      </x:c>
      <x:c r="E155" s="12" t="str">
        <x:v>HS1970</x:v>
      </x:c>
      <x:c r="F155" s="10" t="str">
        <x:v>QUARTUS LOGISTIQUE — Plat logistique SEGRO_ Ferrières</x:v>
      </x:c>
      <x:c r="G155" s="2" t="str">
        <x:v>Importado</x:v>
      </x:c>
      <x:c r="H155" s="2" t="n">
        <x:v>41</x:v>
      </x:c>
      <x:c r="I155" s="10" t="str"/>
    </x:row>
    <x:row r="156" ht="32" customHeight="1">
      <x:c r="A156" s="9" t="d">
        <x:v>2026-09-16T00:00:00.000Z</x:v>
      </x:c>
      <x:c r="B156" s="2" t="str">
        <x:v>BC6 Ferro</x:v>
      </x:c>
      <x:c r="C156" s="11" t="str">
        <x:v>306</x:v>
      </x:c>
      <x:c r="D156" s="10" t="str">
        <x:v>FR2056_VIRTUO  BEZONS</x:v>
      </x:c>
      <x:c r="E156" s="12" t="str">
        <x:v>HS2056</x:v>
      </x:c>
      <x:c r="F156" s="10" t="str">
        <x:v>GSE — FR | VIRTUO | BEZONS</x:v>
      </x:c>
      <x:c r="G156" s="2" t="str">
        <x:v>Importado</x:v>
      </x:c>
      <x:c r="H156" s="2" t="n">
        <x:v>42</x:v>
      </x:c>
      <x:c r="I156" s="10" t="str">
        <x:v>Mais de uma referência para esta equipa no mesmo dia; manter associações distintas.</x:v>
      </x:c>
    </x:row>
    <x:row r="157" ht="48" customHeight="1">
      <x:c r="A157" s="9" t="d">
        <x:v>2026-09-16T00:00:00.000Z</x:v>
      </x:c>
      <x:c r="B157" s="2" t="str">
        <x:v>BC6 Ferro</x:v>
      </x:c>
      <x:c r="C157" s="11" t="str">
        <x:v>306</x:v>
      </x:c>
      <x:c r="D157" s="10" t="str">
        <x:v>parking intersol nancy</x:v>
      </x:c>
      <x:c r="E157" s="12" t="str"/>
      <x:c r="F157" s="10" t="str"/>
      <x:c r="G157" s="2" t="str">
        <x:v>Não importado</x:v>
      </x:c>
      <x:c r="H157" s="2" t="n">
        <x:v>43</x:v>
      </x:c>
      <x:c r="I157" s="10" t="str">
        <x:v>Mais de uma referência para esta equipa no mesmo dia; manter associações distintas. HS2092 tem nome, localidade e datas compatíveis; consta no planeamento de outra equipa em 03/09 e 04/09. HS2431 inicia em outubro.</x:v>
      </x:c>
    </x:row>
    <x:row r="158" ht="48" customHeight="1">
      <x:c r="A158" s="9" t="d">
        <x:v>2026-09-16T00:00:00.000Z</x:v>
      </x:c>
      <x:c r="B158" s="2" t="str">
        <x:v>BC7 Ferro</x:v>
      </x:c>
      <x:c r="C158" s="11" t="str">
        <x:v>307</x:v>
      </x:c>
      <x:c r="D158" s="10" t="str">
        <x:v>parking intersol nancy</x:v>
      </x:c>
      <x:c r="E158" s="12" t="str"/>
      <x:c r="F158" s="10" t="str"/>
      <x:c r="G158" s="2" t="str">
        <x:v>Não importado</x:v>
      </x:c>
      <x:c r="H158" s="2" t="n">
        <x:v>40</x:v>
      </x:c>
      <x:c r="I158" s="10" t="str">
        <x:v>HS2092 tem nome, localidade e datas compatíveis; consta no planeamento de outra equipa em 03/09 e 04/09. HS2431 inicia em outubro.</x:v>
      </x:c>
    </x:row>
    <x:row r="159" ht="32" customHeight="1">
      <x:c r="A159" s="9" t="d">
        <x:v>2026-09-17T00:00:00.000Z</x:v>
      </x:c>
      <x:c r="B159" s="2" t="str">
        <x:v>BC1</x:v>
      </x:c>
      <x:c r="C159" s="11" t="str">
        <x:v>301</x:v>
      </x:c>
      <x:c r="D159" s="10" t="str">
        <x:v>FR2053_ARGAN_TOURNAN EN BRIE</x:v>
      </x:c>
      <x:c r="E159" s="12" t="str">
        <x:v>HS2053</x:v>
      </x:c>
      <x:c r="F159" s="10" t="str">
        <x:v>SAS IDEC — FR | ARGAN_TOURNAN EN BRIE</x:v>
      </x:c>
      <x:c r="G159" s="2" t="str">
        <x:v>Importado</x:v>
      </x:c>
      <x:c r="H159" s="2" t="n">
        <x:v>42</x:v>
      </x:c>
      <x:c r="I159" s="10" t="str"/>
    </x:row>
    <x:row r="160" ht="32" customHeight="1">
      <x:c r="A160" s="9" t="d">
        <x:v>2026-09-17T00:00:00.000Z</x:v>
      </x:c>
      <x:c r="B160" s="2" t="str">
        <x:v>BC2</x:v>
      </x:c>
      <x:c r="C160" s="11" t="str">
        <x:v>302</x:v>
      </x:c>
      <x:c r="D160" s="10" t="str">
        <x:v>intersol transporte de quartz</x:v>
      </x:c>
      <x:c r="E160" s="12" t="str"/>
      <x:c r="F160" s="10" t="str"/>
      <x:c r="G160" s="2" t="str">
        <x:v>Não importado</x:v>
      </x:c>
      <x:c r="H160" s="2" t="n">
        <x:v>46</x:v>
      </x:c>
      <x:c r="I160" s="10" t="str">
        <x:v>Atividade logística; falta identificar o destino ou a obra associada.</x:v>
      </x:c>
    </x:row>
    <x:row r="161" ht="32" customHeight="1">
      <x:c r="A161" s="9" t="d">
        <x:v>2026-09-17T00:00:00.000Z</x:v>
      </x:c>
      <x:c r="B161" s="2" t="str">
        <x:v>BC3</x:v>
      </x:c>
      <x:c r="C161" s="11" t="str">
        <x:v>303</x:v>
      </x:c>
      <x:c r="D161" s="10" t="str">
        <x:v>FR2201_Extension SODEXO_MOISSY CRAMAYEL</x:v>
      </x:c>
      <x:c r="E161" s="12" t="str">
        <x:v>HS2201</x:v>
      </x:c>
      <x:c r="F161" s="10" t="str">
        <x:v>SAS CECIA — Extension SODEXO_MOISSY CRAMAYEL</x:v>
      </x:c>
      <x:c r="G161" s="2" t="str">
        <x:v>Importado</x:v>
      </x:c>
      <x:c r="H161" s="2" t="n">
        <x:v>41</x:v>
      </x:c>
      <x:c r="I161" s="10" t="str"/>
    </x:row>
    <x:row r="162" ht="32" customHeight="1">
      <x:c r="A162" s="9" t="d">
        <x:v>2026-09-17T00:00:00.000Z</x:v>
      </x:c>
      <x:c r="B162" s="2" t="str">
        <x:v>BC4</x:v>
      </x:c>
      <x:c r="C162" s="11" t="str">
        <x:v>304</x:v>
      </x:c>
      <x:c r="D162" s="10" t="str">
        <x:v>FR2086_BRIOCHES FONTENEAU BOUFFERE</x:v>
      </x:c>
      <x:c r="E162" s="12" t="str">
        <x:v>HS2086</x:v>
      </x:c>
      <x:c r="F162" s="10" t="str">
        <x:v>SAS IDEC AGRO &amp; FACTORY — FR | BRIOCHES FONTENEAU | BOUFFERE</x:v>
      </x:c>
      <x:c r="G162" s="2" t="str">
        <x:v>Importado</x:v>
      </x:c>
      <x:c r="H162" s="2" t="n">
        <x:v>42</x:v>
      </x:c>
      <x:c r="I162" s="10" t="str">
        <x:v>Data fora do intervalo cadastrado da obra (2026-04-01 a 2026-07-31); manter a data do Excel.</x:v>
      </x:c>
    </x:row>
    <x:row r="163" ht="32" customHeight="1">
      <x:c r="A163" s="9" t="d">
        <x:v>2026-09-17T00:00:00.000Z</x:v>
      </x:c>
      <x:c r="B163" s="2" t="str">
        <x:v>BC5</x:v>
      </x:c>
      <x:c r="C163" s="11" t="str">
        <x:v>305</x:v>
      </x:c>
      <x:c r="D163" s="10" t="str">
        <x:v>FR1970_Plat logistique SEGRO</x:v>
      </x:c>
      <x:c r="E163" s="12" t="str">
        <x:v>HS1970</x:v>
      </x:c>
      <x:c r="F163" s="10" t="str">
        <x:v>QUARTUS LOGISTIQUE — Plat logistique SEGRO_ Ferrières</x:v>
      </x:c>
      <x:c r="G163" s="2" t="str">
        <x:v>Importado</x:v>
      </x:c>
      <x:c r="H163" s="2" t="n">
        <x:v>42</x:v>
      </x:c>
      <x:c r="I163" s="10" t="str"/>
    </x:row>
    <x:row r="164" ht="32" customHeight="1">
      <x:c r="A164" s="9" t="d">
        <x:v>2026-09-17T00:00:00.000Z</x:v>
      </x:c>
      <x:c r="B164" s="2" t="str">
        <x:v>BC6 Ferro</x:v>
      </x:c>
      <x:c r="C164" s="11" t="str">
        <x:v>306</x:v>
      </x:c>
      <x:c r="D164" s="10" t="str">
        <x:v>FR2056_VIRTUO  BEZONS</x:v>
      </x:c>
      <x:c r="E164" s="12" t="str">
        <x:v>HS2056</x:v>
      </x:c>
      <x:c r="F164" s="10" t="str">
        <x:v>GSE — FR | VIRTUO | BEZONS</x:v>
      </x:c>
      <x:c r="G164" s="2" t="str">
        <x:v>Importado</x:v>
      </x:c>
      <x:c r="H164" s="2" t="n">
        <x:v>44</x:v>
      </x:c>
      <x:c r="I164" s="10" t="str">
        <x:v>Mais de uma referência para esta equipa no mesmo dia; manter associações distintas.</x:v>
      </x:c>
    </x:row>
    <x:row r="165" ht="48" customHeight="1">
      <x:c r="A165" s="9" t="d">
        <x:v>2026-09-17T00:00:00.000Z</x:v>
      </x:c>
      <x:c r="B165" s="2" t="str">
        <x:v>BC6 Ferro</x:v>
      </x:c>
      <x:c r="C165" s="11" t="str">
        <x:v>306</x:v>
      </x:c>
      <x:c r="D165" s="10" t="str">
        <x:v>parking intersol nancy</x:v>
      </x:c>
      <x:c r="E165" s="12" t="str"/>
      <x:c r="F165" s="10" t="str"/>
      <x:c r="G165" s="2" t="str">
        <x:v>Não importado</x:v>
      </x:c>
      <x:c r="H165" s="2" t="n">
        <x:v>45</x:v>
      </x:c>
      <x:c r="I165" s="10" t="str">
        <x:v>Mais de uma referência para esta equipa no mesmo dia; manter associações distintas. HS2092 tem nome, localidade e datas compatíveis; consta no planeamento de outra equipa em 03/09 e 04/09. HS2431 inicia em outubro.</x:v>
      </x:c>
    </x:row>
    <x:row r="166" ht="48" customHeight="1">
      <x:c r="A166" s="9" t="d">
        <x:v>2026-09-17T00:00:00.000Z</x:v>
      </x:c>
      <x:c r="B166" s="2" t="str">
        <x:v>BC7 Ferro</x:v>
      </x:c>
      <x:c r="C166" s="11" t="str">
        <x:v>307</x:v>
      </x:c>
      <x:c r="D166" s="10" t="str">
        <x:v>parking intersol nancy</x:v>
      </x:c>
      <x:c r="E166" s="12" t="str"/>
      <x:c r="F166" s="10" t="str"/>
      <x:c r="G166" s="2" t="str">
        <x:v>Não importado</x:v>
      </x:c>
      <x:c r="H166" s="2" t="n">
        <x:v>41</x:v>
      </x:c>
      <x:c r="I166" s="10" t="str">
        <x:v>HS2092 tem nome, localidade e datas compatíveis; consta no planeamento de outra equipa em 03/09 e 04/09. HS2431 inicia em outubro.</x:v>
      </x:c>
    </x:row>
    <x:row r="167" ht="32" customHeight="1">
      <x:c r="A167" s="9" t="d">
        <x:v>2026-09-18T00:00:00.000Z</x:v>
      </x:c>
      <x:c r="B167" s="2" t="str">
        <x:v>BC1</x:v>
      </x:c>
      <x:c r="C167" s="11" t="str">
        <x:v>301</x:v>
      </x:c>
      <x:c r="D167" s="10" t="str">
        <x:v>FR2053_ARGAN_TOURNAN EN BRIE</x:v>
      </x:c>
      <x:c r="E167" s="12" t="str">
        <x:v>HS2053</x:v>
      </x:c>
      <x:c r="F167" s="10" t="str">
        <x:v>SAS IDEC — FR | ARGAN_TOURNAN EN BRIE</x:v>
      </x:c>
      <x:c r="G167" s="2" t="str">
        <x:v>Importado</x:v>
      </x:c>
      <x:c r="H167" s="2" t="n">
        <x:v>43</x:v>
      </x:c>
      <x:c r="I167" s="10" t="str"/>
    </x:row>
    <x:row r="168" ht="48" customHeight="1">
      <x:c r="A168" s="9" t="d">
        <x:v>2026-09-18T00:00:00.000Z</x:v>
      </x:c>
      <x:c r="B168" s="2" t="str">
        <x:v>BC2</x:v>
      </x:c>
      <x:c r="C168" s="11" t="str">
        <x:v>302</x:v>
      </x:c>
      <x:c r="D168" s="10" t="str">
        <x:v>intersol bleyer</x:v>
      </x:c>
      <x:c r="E168" s="12" t="str"/>
      <x:c r="F168" s="10" t="str"/>
      <x:c r="G168" s="2" t="str">
        <x:v>Não importado</x:v>
      </x:c>
      <x:c r="H168" s="2" t="n">
        <x:v>47</x:v>
      </x:c>
      <x:c r="I168" s="10" t="str">
        <x:v>Cliente com várias obras; Guebwiller (HS2412) e Hésingue (HS2413) têm datas compatíveis. HS1354 é uma referência genérica antiga.</x:v>
      </x:c>
    </x:row>
    <x:row r="169" ht="32" customHeight="1">
      <x:c r="A169" s="9" t="d">
        <x:v>2026-09-18T00:00:00.000Z</x:v>
      </x:c>
      <x:c r="B169" s="2" t="str">
        <x:v>BC3</x:v>
      </x:c>
      <x:c r="C169" s="11" t="str">
        <x:v>303</x:v>
      </x:c>
      <x:c r="D169" s="10" t="str">
        <x:v>FR2201_Extension SODEXO_MOISSY CRAMAYEL</x:v>
      </x:c>
      <x:c r="E169" s="12" t="str">
        <x:v>HS2201</x:v>
      </x:c>
      <x:c r="F169" s="10" t="str">
        <x:v>SAS CECIA — Extension SODEXO_MOISSY CRAMAYEL</x:v>
      </x:c>
      <x:c r="G169" s="2" t="str">
        <x:v>Importado</x:v>
      </x:c>
      <x:c r="H169" s="2" t="n">
        <x:v>42</x:v>
      </x:c>
      <x:c r="I169" s="10" t="str"/>
    </x:row>
    <x:row r="170" ht="32" customHeight="1">
      <x:c r="A170" s="9" t="d">
        <x:v>2026-09-18T00:00:00.000Z</x:v>
      </x:c>
      <x:c r="B170" s="2" t="str">
        <x:v>BC4</x:v>
      </x:c>
      <x:c r="C170" s="11" t="str">
        <x:v>304</x:v>
      </x:c>
      <x:c r="D170" s="10" t="str">
        <x:v>IDEC Benzons</x:v>
      </x:c>
      <x:c r="E170" s="12" t="str"/>
      <x:c r="F170" s="10" t="str"/>
      <x:c r="G170" s="2" t="str">
        <x:v>Não importado</x:v>
      </x:c>
      <x:c r="H170" s="2" t="n">
        <x:v>43</x:v>
      </x:c>
      <x:c r="I170" s="10" t="str">
        <x:v>HS2056 é VIRTUO / BEZONS, mas o cliente registado é GSE; IDEC não confirma a mesma obra.</x:v>
      </x:c>
    </x:row>
    <x:row r="171" ht="32" customHeight="1">
      <x:c r="A171" s="9" t="d">
        <x:v>2026-09-18T00:00:00.000Z</x:v>
      </x:c>
      <x:c r="B171" s="2" t="str">
        <x:v>BC5</x:v>
      </x:c>
      <x:c r="C171" s="11" t="str">
        <x:v>305</x:v>
      </x:c>
      <x:c r="D171" s="10" t="str">
        <x:v>FR1970_Plat logistique SEGRO</x:v>
      </x:c>
      <x:c r="E171" s="12" t="str">
        <x:v>HS1970</x:v>
      </x:c>
      <x:c r="F171" s="10" t="str">
        <x:v>QUARTUS LOGISTIQUE — Plat logistique SEGRO_ Ferrières</x:v>
      </x:c>
      <x:c r="G171" s="2" t="str">
        <x:v>Importado</x:v>
      </x:c>
      <x:c r="H171" s="2" t="n">
        <x:v>43</x:v>
      </x:c>
      <x:c r="I171" s="10" t="str"/>
    </x:row>
    <x:row r="172" ht="32" customHeight="1">
      <x:c r="A172" s="9" t="d">
        <x:v>2026-09-18T00:00:00.000Z</x:v>
      </x:c>
      <x:c r="B172" s="2" t="str">
        <x:v>BC6 Ferro</x:v>
      </x:c>
      <x:c r="C172" s="11" t="str">
        <x:v>306</x:v>
      </x:c>
      <x:c r="D172" s="10" t="str">
        <x:v>FR2056_VIRTUO  BEZONS</x:v>
      </x:c>
      <x:c r="E172" s="12" t="str">
        <x:v>HS2056</x:v>
      </x:c>
      <x:c r="F172" s="10" t="str">
        <x:v>GSE — FR | VIRTUO | BEZONS</x:v>
      </x:c>
      <x:c r="G172" s="2" t="str">
        <x:v>Importado</x:v>
      </x:c>
      <x:c r="H172" s="2" t="n">
        <x:v>46</x:v>
      </x:c>
      <x:c r="I172" s="10" t="str">
        <x:v>Mais de uma referência para esta equipa no mesmo dia; manter associações distintas.</x:v>
      </x:c>
    </x:row>
    <x:row r="173" ht="48" customHeight="1">
      <x:c r="A173" s="9" t="d">
        <x:v>2026-09-18T00:00:00.000Z</x:v>
      </x:c>
      <x:c r="B173" s="2" t="str">
        <x:v>BC6 Ferro</x:v>
      </x:c>
      <x:c r="C173" s="11" t="str">
        <x:v>306</x:v>
      </x:c>
      <x:c r="D173" s="10" t="str">
        <x:v>intersol Manuel sarreguemines</x:v>
      </x:c>
      <x:c r="E173" s="12" t="str"/>
      <x:c r="F173" s="10" t="str"/>
      <x:c r="G173" s="2" t="str">
        <x:v>Não importado</x:v>
      </x:c>
      <x:c r="H173" s="2" t="n">
        <x:v>47</x:v>
      </x:c>
      <x:c r="I173" s="10" t="str">
        <x:v>Mais de uma referência para esta equipa no mesmo dia; manter associações distintas. Várias obras em Sarreguemines; Manuel não identifica uma obra de forma inequívoca.</x:v>
      </x:c>
    </x:row>
    <x:row r="174" ht="32" customHeight="1">
      <x:c r="A174" s="9" t="d">
        <x:v>2026-09-18T00:00:00.000Z</x:v>
      </x:c>
      <x:c r="B174" s="2" t="str">
        <x:v>BC7 Ferro</x:v>
      </x:c>
      <x:c r="C174" s="11" t="str">
        <x:v>307</x:v>
      </x:c>
      <x:c r="D174" s="10" t="str">
        <x:v>intersol Manuel sarreguemines</x:v>
      </x:c>
      <x:c r="E174" s="12" t="str"/>
      <x:c r="F174" s="10" t="str"/>
      <x:c r="G174" s="2" t="str">
        <x:v>Não importado</x:v>
      </x:c>
      <x:c r="H174" s="2" t="n">
        <x:v>42</x:v>
      </x:c>
      <x:c r="I174" s="10" t="str">
        <x:v>Várias obras em Sarreguemines; Manuel não identifica uma obra de forma inequívoca.</x:v>
      </x:c>
    </x:row>
    <x:row r="175" ht="32" customHeight="1">
      <x:c r="A175" s="9" t="d">
        <x:v>2026-09-19T00:00:00.000Z</x:v>
      </x:c>
      <x:c r="B175" s="2" t="str">
        <x:v>BC1</x:v>
      </x:c>
      <x:c r="C175" s="11" t="str">
        <x:v>301</x:v>
      </x:c>
      <x:c r="D175" s="10" t="str">
        <x:v>FR2053_ARGAN_TOURNAN EN BRIE</x:v>
      </x:c>
      <x:c r="E175" s="12" t="str">
        <x:v>HS2053</x:v>
      </x:c>
      <x:c r="F175" s="10" t="str">
        <x:v>SAS IDEC — FR | ARGAN_TOURNAN EN BRIE</x:v>
      </x:c>
      <x:c r="G175" s="2" t="str">
        <x:v>Importado</x:v>
      </x:c>
      <x:c r="H175" s="2" t="n">
        <x:v>44</x:v>
      </x:c>
      <x:c r="I175" s="10" t="str"/>
    </x:row>
    <x:row r="176" ht="32" customHeight="1">
      <x:c r="A176" s="9" t="d">
        <x:v>2026-09-19T00:00:00.000Z</x:v>
      </x:c>
      <x:c r="B176" s="2" t="str">
        <x:v>BC3</x:v>
      </x:c>
      <x:c r="C176" s="11" t="str">
        <x:v>303</x:v>
      </x:c>
      <x:c r="D176" s="10" t="str">
        <x:v>FR2035_AXDEV ADPARK_Croissy</x:v>
      </x:c>
      <x:c r="E176" s="12" t="str">
        <x:v>HS2035</x:v>
      </x:c>
      <x:c r="F176" s="10" t="str">
        <x:v>GSE — FR | AXDEV ADPARK_Croissy-Beaubourg</x:v>
      </x:c>
      <x:c r="G176" s="2" t="str">
        <x:v>Importado</x:v>
      </x:c>
      <x:c r="H176" s="2" t="n">
        <x:v>43</x:v>
      </x:c>
      <x:c r="I176" s="10" t="str"/>
    </x:row>
    <x:row r="177" ht="32" customHeight="1">
      <x:c r="A177" s="9" t="d">
        <x:v>2026-09-19T00:00:00.000Z</x:v>
      </x:c>
      <x:c r="B177" s="2" t="str">
        <x:v>BC5</x:v>
      </x:c>
      <x:c r="C177" s="11" t="str">
        <x:v>305</x:v>
      </x:c>
      <x:c r="D177" s="10" t="str">
        <x:v>FR1970_Plat logistique SEGRO</x:v>
      </x:c>
      <x:c r="E177" s="12" t="str">
        <x:v>HS1970</x:v>
      </x:c>
      <x:c r="F177" s="10" t="str">
        <x:v>QUARTUS LOGISTIQUE — Plat logistique SEGRO_ Ferrières</x:v>
      </x:c>
      <x:c r="G177" s="2" t="str">
        <x:v>Importado</x:v>
      </x:c>
      <x:c r="H177" s="2" t="n">
        <x:v>44</x:v>
      </x:c>
      <x:c r="I177" s="10" t="str"/>
    </x:row>
    <x:row r="178" ht="32" customHeight="1">
      <x:c r="A178" s="9" t="d">
        <x:v>2026-09-19T00:00:00.000Z</x:v>
      </x:c>
      <x:c r="B178" s="2" t="str">
        <x:v>BC6 Ferro</x:v>
      </x:c>
      <x:c r="C178" s="11" t="str">
        <x:v>306</x:v>
      </x:c>
      <x:c r="D178" s="10" t="str">
        <x:v>intersol Manuel sarreguemines</x:v>
      </x:c>
      <x:c r="E178" s="12" t="str"/>
      <x:c r="F178" s="10" t="str"/>
      <x:c r="G178" s="2" t="str">
        <x:v>Não importado</x:v>
      </x:c>
      <x:c r="H178" s="2" t="n">
        <x:v>48</x:v>
      </x:c>
      <x:c r="I178" s="10" t="str">
        <x:v>Várias obras em Sarreguemines; Manuel não identifica uma obra de forma inequívoca.</x:v>
      </x:c>
    </x:row>
    <x:row r="179" ht="32" customHeight="1">
      <x:c r="A179" s="9" t="d">
        <x:v>2026-09-19T00:00:00.000Z</x:v>
      </x:c>
      <x:c r="B179" s="2" t="str">
        <x:v>BC7 Ferro</x:v>
      </x:c>
      <x:c r="C179" s="11" t="str">
        <x:v>307</x:v>
      </x:c>
      <x:c r="D179" s="10" t="str">
        <x:v>intersol Manuel sarreguemines</x:v>
      </x:c>
      <x:c r="E179" s="12" t="str"/>
      <x:c r="F179" s="10" t="str"/>
      <x:c r="G179" s="2" t="str">
        <x:v>Não importado</x:v>
      </x:c>
      <x:c r="H179" s="2" t="n">
        <x:v>43</x:v>
      </x:c>
      <x:c r="I179" s="10" t="str">
        <x:v>Várias obras em Sarreguemines; Manuel não identifica uma obra de forma inequívoca.</x:v>
      </x:c>
    </x:row>
    <x:row r="180" ht="32" customHeight="1">
      <x:c r="A180" s="9" t="d">
        <x:v>2026-09-20T00:00:00.000Z</x:v>
      </x:c>
      <x:c r="B180" s="2" t="str">
        <x:v>BC1</x:v>
      </x:c>
      <x:c r="C180" s="11" t="str">
        <x:v>301</x:v>
      </x:c>
      <x:c r="D180" s="10" t="str">
        <x:v>FR2053_ARGAN_TOURNAN EN BRIE</x:v>
      </x:c>
      <x:c r="E180" s="12" t="str">
        <x:v>HS2053</x:v>
      </x:c>
      <x:c r="F180" s="10" t="str">
        <x:v>SAS IDEC — FR | ARGAN_TOURNAN EN BRIE</x:v>
      </x:c>
      <x:c r="G180" s="2" t="str">
        <x:v>Importado</x:v>
      </x:c>
      <x:c r="H180" s="2" t="n">
        <x:v>45</x:v>
      </x:c>
      <x:c r="I180" s="10" t="str"/>
    </x:row>
    <x:row r="181" ht="32" customHeight="1">
      <x:c r="A181" s="9" t="d">
        <x:v>2026-09-21T00:00:00.000Z</x:v>
      </x:c>
      <x:c r="B181" s="2" t="str">
        <x:v>BC1</x:v>
      </x:c>
      <x:c r="C181" s="11" t="str">
        <x:v>301</x:v>
      </x:c>
      <x:c r="D181" s="10" t="str">
        <x:v>FR2053_ARGAN_TOURNAN EN BRIE</x:v>
      </x:c>
      <x:c r="E181" s="12" t="str">
        <x:v>HS2053</x:v>
      </x:c>
      <x:c r="F181" s="10" t="str">
        <x:v>SAS IDEC — FR | ARGAN_TOURNAN EN BRIE</x:v>
      </x:c>
      <x:c r="G181" s="2" t="str">
        <x:v>Importado</x:v>
      </x:c>
      <x:c r="H181" s="2" t="n">
        <x:v>46</x:v>
      </x:c>
      <x:c r="I181" s="10" t="str"/>
    </x:row>
    <x:row r="182" ht="32" customHeight="1">
      <x:c r="A182" s="9" t="d">
        <x:v>2026-09-21T00:00:00.000Z</x:v>
      </x:c>
      <x:c r="B182" s="2" t="str">
        <x:v>BC2</x:v>
      </x:c>
      <x:c r="C182" s="11" t="str">
        <x:v>302</x:v>
      </x:c>
      <x:c r="D182" s="10" t="str">
        <x:v>intersol vendenheim</x:v>
      </x:c>
      <x:c r="E182" s="12" t="str"/>
      <x:c r="F182" s="10" t="str"/>
      <x:c r="G182" s="2" t="str">
        <x:v>Não importado</x:v>
      </x:c>
      <x:c r="H182" s="2" t="n">
        <x:v>50</x:v>
      </x:c>
      <x:c r="I182" s="10" t="str">
        <x:v>Duas obras compatíveis com a localidade e data: SIEHR (HS2082) e Leroy Merlin (HS2372).</x:v>
      </x:c>
    </x:row>
    <x:row r="183" ht="32" customHeight="1">
      <x:c r="A183" s="9" t="d">
        <x:v>2026-09-21T00:00:00.000Z</x:v>
      </x:c>
      <x:c r="B183" s="2" t="str">
        <x:v>BC3</x:v>
      </x:c>
      <x:c r="C183" s="11" t="str">
        <x:v>303</x:v>
      </x:c>
      <x:c r="D183" s="10" t="str">
        <x:v>FR2035_AXDEV ADPARK_Croissy</x:v>
      </x:c>
      <x:c r="E183" s="12" t="str">
        <x:v>HS2035</x:v>
      </x:c>
      <x:c r="F183" s="10" t="str">
        <x:v>GSE — FR | AXDEV ADPARK_Croissy-Beaubourg</x:v>
      </x:c>
      <x:c r="G183" s="2" t="str">
        <x:v>Importado</x:v>
      </x:c>
      <x:c r="H183" s="2" t="n">
        <x:v>45</x:v>
      </x:c>
      <x:c r="I183" s="10" t="str"/>
    </x:row>
    <x:row r="184" ht="32" customHeight="1">
      <x:c r="A184" s="9" t="d">
        <x:v>2026-09-21T00:00:00.000Z</x:v>
      </x:c>
      <x:c r="B184" s="2" t="str">
        <x:v>BC4</x:v>
      </x:c>
      <x:c r="C184" s="11" t="str">
        <x:v>304</x:v>
      </x:c>
      <x:c r="D184" s="10" t="str">
        <x:v>IDEC Benzons</x:v>
      </x:c>
      <x:c r="E184" s="12" t="str"/>
      <x:c r="F184" s="10" t="str"/>
      <x:c r="G184" s="2" t="str">
        <x:v>Não importado</x:v>
      </x:c>
      <x:c r="H184" s="2" t="n">
        <x:v>46</x:v>
      </x:c>
      <x:c r="I184" s="10" t="str">
        <x:v>HS2056 é VIRTUO / BEZONS, mas o cliente registado é GSE; IDEC não confirma a mesma obra.</x:v>
      </x:c>
    </x:row>
    <x:row r="185" ht="32" customHeight="1">
      <x:c r="A185" s="9" t="d">
        <x:v>2026-09-21T00:00:00.000Z</x:v>
      </x:c>
      <x:c r="B185" s="2" t="str">
        <x:v>BC5</x:v>
      </x:c>
      <x:c r="C185" s="11" t="str">
        <x:v>305</x:v>
      </x:c>
      <x:c r="D185" s="10" t="str">
        <x:v>FR1970_Plat logistique SEGRO</x:v>
      </x:c>
      <x:c r="E185" s="12" t="str">
        <x:v>HS1970</x:v>
      </x:c>
      <x:c r="F185" s="10" t="str">
        <x:v>QUARTUS LOGISTIQUE — Plat logistique SEGRO_ Ferrières</x:v>
      </x:c>
      <x:c r="G185" s="2" t="str">
        <x:v>Importado</x:v>
      </x:c>
      <x:c r="H185" s="2" t="n">
        <x:v>46</x:v>
      </x:c>
      <x:c r="I185" s="10" t="str"/>
    </x:row>
    <x:row r="186" ht="32" customHeight="1">
      <x:c r="A186" s="9" t="d">
        <x:v>2026-09-21T00:00:00.000Z</x:v>
      </x:c>
      <x:c r="B186" s="2" t="str">
        <x:v>BC6 Ferro</x:v>
      </x:c>
      <x:c r="C186" s="11" t="str">
        <x:v>306</x:v>
      </x:c>
      <x:c r="D186" s="10" t="str">
        <x:v>FR2056_VIRTUO  BEZONS</x:v>
      </x:c>
      <x:c r="E186" s="12" t="str">
        <x:v>HS2056</x:v>
      </x:c>
      <x:c r="F186" s="10" t="str">
        <x:v>GSE — FR | VIRTUO | BEZONS</x:v>
      </x:c>
      <x:c r="G186" s="2" t="str">
        <x:v>Importado</x:v>
      </x:c>
      <x:c r="H186" s="2" t="n">
        <x:v>50</x:v>
      </x:c>
      <x:c r="I186" s="10" t="str">
        <x:v>Mais de uma referência para esta equipa no mesmo dia; manter associações distintas.</x:v>
      </x:c>
    </x:row>
    <x:row r="187" ht="48" customHeight="1">
      <x:c r="A187" s="9" t="d">
        <x:v>2026-09-21T00:00:00.000Z</x:v>
      </x:c>
      <x:c r="B187" s="2" t="str">
        <x:v>BC6 Ferro</x:v>
      </x:c>
      <x:c r="C187" s="11" t="str">
        <x:v>306</x:v>
      </x:c>
      <x:c r="D187" s="10" t="str">
        <x:v>intersol Manuel sarreguemines</x:v>
      </x:c>
      <x:c r="E187" s="12" t="str"/>
      <x:c r="F187" s="10" t="str"/>
      <x:c r="G187" s="2" t="str">
        <x:v>Não importado</x:v>
      </x:c>
      <x:c r="H187" s="2" t="n">
        <x:v>51</x:v>
      </x:c>
      <x:c r="I187" s="10" t="str">
        <x:v>Mais de uma referência para esta equipa no mesmo dia; manter associações distintas. Várias obras em Sarreguemines; Manuel não identifica uma obra de forma inequívoca.</x:v>
      </x:c>
    </x:row>
    <x:row r="188" ht="32" customHeight="1">
      <x:c r="A188" s="9" t="d">
        <x:v>2026-09-21T00:00:00.000Z</x:v>
      </x:c>
      <x:c r="B188" s="2" t="str">
        <x:v>BC7 Ferro</x:v>
      </x:c>
      <x:c r="C188" s="11" t="str">
        <x:v>307</x:v>
      </x:c>
      <x:c r="D188" s="10" t="str">
        <x:v>intersol Manuel sarreguemines</x:v>
      </x:c>
      <x:c r="E188" s="12" t="str"/>
      <x:c r="F188" s="10" t="str"/>
      <x:c r="G188" s="2" t="str">
        <x:v>Não importado</x:v>
      </x:c>
      <x:c r="H188" s="2" t="n">
        <x:v>45</x:v>
      </x:c>
      <x:c r="I188" s="10" t="str">
        <x:v>Várias obras em Sarreguemines; Manuel não identifica uma obra de forma inequívoca.</x:v>
      </x:c>
    </x:row>
  </x:sheetData>
  <x:conditionalFormatting sqref="G8:G188">
    <x:cfRule type="containsText" dxfId="0" priority="1" operator="containsText" text="Não importado"/>
    <x:cfRule type="containsText" dxfId="1" priority="2" operator="containsText" text="Deslocação"/>
  </x:conditionalFormatting>
  <x:pageMargins left="0.7" right="0.7" top="0.75" bottom="0.75" header="0.3" footer="0.3"/>
  <x:tableParts count="1">
    <x:tablePart xmlns:r="http://schemas.openxmlformats.org/officeDocument/2006/relationships" r:id="Ree8f0ac0a13f4fe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4.439998626708984" hidden="0" customWidth="1"/>
    <x:col min="2" max="2" width="11.109999656677246" hidden="0" customWidth="1"/>
    <x:col min="3" max="3" width="38.88999938964844" hidden="0" customWidth="1"/>
    <x:col min="4" max="4" width="11.670000076293945" hidden="0" customWidth="1"/>
    <x:col min="5" max="5" width="21.110000610351562" hidden="0" customWidth="1"/>
    <x:col min="6" max="6" width="66.66999816894531" hidden="0" customWidth="1"/>
    <x:col min="7" max="7" width="63.33000183105469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Correspondências das referências de obra</x:v>
      </x:c>
      <x:c r="B2" s="2"/>
      <x:c r="C2" s="2"/>
      <x:c r="D2" s="2"/>
      <x:c r="E2" s="2"/>
      <x:c r="F2" s="2"/>
      <x:c r="G2" s="2"/>
    </x:row>
    <x:row r="3">
      <x:c r="A3" s="4" t="str">
        <x:v>Fonte: BETAOCONCEPT_Equipas Setembro 26.xlsx; catálogo e planeamento HSOLS_MASTER consultados em 14/10/2026.</x:v>
      </x:c>
      <x:c r="B3" s="2"/>
      <x:c r="C3" s="2"/>
      <x:c r="D3" s="2"/>
      <x:c r="E3" s="2"/>
      <x:c r="F3" s="2"/>
      <x:c r="G3" s="2"/>
    </x:row>
    <x:row r="4">
      <x:c r="A4" s="2" t="str">
        <x:v>Equipas: BC1–BC5 → 301–305; BC6 Ferro → 306; BC7 Ferro → 307. Folha oculta BC6 / abril 2022 excluída.</x:v>
      </x:c>
      <x:c r="B4" s="2"/>
      <x:c r="C4" s="2"/>
      <x:c r="D4" s="2"/>
      <x:c r="E4" s="2"/>
      <x:c r="F4" s="2"/>
      <x:c r="G4" s="2"/>
    </x:row>
    <x:row r="5">
      <x:c r="A5" s="2" t="str">
        <x:v>Visibilidade: equipas no grupo PORTUGAL; seis datas importadas fora dos intervalos cadastrados das obras. Datas e grupos mantidos.</x:v>
      </x:c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30" customHeight="1">
      <x:c r="A7" s="8" t="str">
        <x:v>Referência no Excel</x:v>
      </x:c>
      <x:c r="B7" s="8" t="str">
        <x:v>Processo</x:v>
      </x:c>
      <x:c r="C7" s="8" t="str">
        <x:v>Obra identificada</x:v>
      </x:c>
      <x:c r="D7" s="8" t="str">
        <x:v>Resultado</x:v>
      </x:c>
      <x:c r="E7" s="8" t="str">
        <x:v>Correspondência</x:v>
      </x:c>
      <x:c r="F7" s="8" t="str">
        <x:v>Alternativas a confirmar</x:v>
      </x:c>
      <x:c r="G7" s="8" t="str">
        <x:v>Motivo / observações</x:v>
      </x:c>
    </x:row>
    <x:row r="8" ht="48" customHeight="1">
      <x:c r="A8" s="13" t="str">
        <x:v>FR1822 SCI JULIE</x:v>
      </x:c>
      <x:c r="B8" s="14" t="str">
        <x:v>HS1822</x:v>
      </x:c>
      <x:c r="C8" s="13" t="str">
        <x:v>SCI JULIE — CONSTRUCTION  BÂTIMENT_St QUENTIN</x:v>
      </x:c>
      <x:c r="D8" s="13" t="str">
        <x:v>Resolvido</x:v>
      </x:c>
      <x:c r="E8" s="13" t="str">
        <x:v>Código e nome/descrição</x:v>
      </x:c>
      <x:c r="F8" s="13" t="str"/>
      <x:c r="G8" s="13" t="str">
        <x:v>FR1822 corresponde a HS1822; termos comuns: julie, sci.</x:v>
      </x:c>
    </x:row>
    <x:row r="9" ht="48" customHeight="1">
      <x:c r="A9" s="13" t="str">
        <x:v>FR1970_Plat logistique SEGRO</x:v>
      </x:c>
      <x:c r="B9" s="14" t="str">
        <x:v>HS1970</x:v>
      </x:c>
      <x:c r="C9" s="13" t="str">
        <x:v>QUARTUS LOGISTIQUE — Plat logistique SEGRO_ Ferrières</x:v>
      </x:c>
      <x:c r="D9" s="13" t="str">
        <x:v>Resolvido</x:v>
      </x:c>
      <x:c r="E9" s="13" t="str">
        <x:v>Código e nome/descrição</x:v>
      </x:c>
      <x:c r="F9" s="13" t="str"/>
      <x:c r="G9" s="13" t="str">
        <x:v>FR1970 corresponde a HS1970; termos comuns: logistique, plat, segro.</x:v>
      </x:c>
    </x:row>
    <x:row r="10" ht="48" customHeight="1">
      <x:c r="A10" s="13" t="str">
        <x:v>FR2035_AXDEV ADPARK_Croissy</x:v>
      </x:c>
      <x:c r="B10" s="14" t="str">
        <x:v>HS2035</x:v>
      </x:c>
      <x:c r="C10" s="13" t="str">
        <x:v>GSE — FR | AXDEV ADPARK_Croissy-Beaubourg</x:v>
      </x:c>
      <x:c r="D10" s="13" t="str">
        <x:v>Resolvido</x:v>
      </x:c>
      <x:c r="E10" s="13" t="str">
        <x:v>Código e nome/descrição</x:v>
      </x:c>
      <x:c r="F10" s="13" t="str"/>
      <x:c r="G10" s="13" t="str">
        <x:v>FR2035 corresponde a HS2035; termos comuns: adpark, axdev, croissy.</x:v>
      </x:c>
    </x:row>
    <x:row r="11" ht="48" customHeight="1">
      <x:c r="A11" s="13" t="str">
        <x:v>FR2044_Maison Bray CHANTONNAY</x:v>
      </x:c>
      <x:c r="B11" s="14" t="str">
        <x:v>HS2044</x:v>
      </x:c>
      <x:c r="C11" s="13" t="str">
        <x:v>SAS CECIA — FR | Maison Bray | CHANTONNAY</x:v>
      </x:c>
      <x:c r="D11" s="13" t="str">
        <x:v>Resolvido</x:v>
      </x:c>
      <x:c r="E11" s="13" t="str">
        <x:v>Código e nome/descrição</x:v>
      </x:c>
      <x:c r="F11" s="13" t="str"/>
      <x:c r="G11" s="13" t="str">
        <x:v>FR2044 corresponde a HS2044; termos comuns: bray, chantonnay, maison.</x:v>
      </x:c>
    </x:row>
    <x:row r="12" ht="48" customHeight="1">
      <x:c r="A12" s="13" t="str">
        <x:v>FR2047_Plat log  Panattoni_Huningue</x:v>
      </x:c>
      <x:c r="B12" s="14" t="str">
        <x:v>HS2047</x:v>
      </x:c>
      <x:c r="C12" s="13" t="str">
        <x:v>GSE — Plat log  Panattoni_Huningue</x:v>
      </x:c>
      <x:c r="D12" s="13" t="str">
        <x:v>Resolvido</x:v>
      </x:c>
      <x:c r="E12" s="13" t="str">
        <x:v>Código e nome/descrição</x:v>
      </x:c>
      <x:c r="F12" s="13" t="str"/>
      <x:c r="G12" s="13" t="str">
        <x:v>FR2047 corresponde a HS2047; termos comuns: huningue, log, panattoni, plat.</x:v>
      </x:c>
    </x:row>
    <x:row r="13" ht="48" customHeight="1">
      <x:c r="A13" s="13" t="str">
        <x:v>FR2053_ARGAN_TOURNAN EN BRIE</x:v>
      </x:c>
      <x:c r="B13" s="14" t="str">
        <x:v>HS2053</x:v>
      </x:c>
      <x:c r="C13" s="13" t="str">
        <x:v>SAS IDEC — FR | ARGAN_TOURNAN EN BRIE</x:v>
      </x:c>
      <x:c r="D13" s="13" t="str">
        <x:v>Resolvido</x:v>
      </x:c>
      <x:c r="E13" s="13" t="str">
        <x:v>Código e nome/descrição</x:v>
      </x:c>
      <x:c r="F13" s="13" t="str"/>
      <x:c r="G13" s="13" t="str">
        <x:v>FR2053 corresponde a HS2053; termos comuns: argan, brie, en, tournan.</x:v>
      </x:c>
    </x:row>
    <x:row r="14" ht="48" customHeight="1">
      <x:c r="A14" s="13" t="str">
        <x:v>FR2056_VIRTUO  BEZONS</x:v>
      </x:c>
      <x:c r="B14" s="14" t="str">
        <x:v>HS2056</x:v>
      </x:c>
      <x:c r="C14" s="13" t="str">
        <x:v>GSE — FR | VIRTUO | BEZONS</x:v>
      </x:c>
      <x:c r="D14" s="13" t="str">
        <x:v>Resolvido</x:v>
      </x:c>
      <x:c r="E14" s="13" t="str">
        <x:v>Código e nome/descrição</x:v>
      </x:c>
      <x:c r="F14" s="13" t="str"/>
      <x:c r="G14" s="13" t="str">
        <x:v>FR2056 corresponde a HS2056; termos comuns: bezons, virtuo.</x:v>
      </x:c>
    </x:row>
    <x:row r="15" ht="48" customHeight="1">
      <x:c r="A15" s="13" t="str">
        <x:v>FR2086_BRIOCHES FONTENEAU BOUFFERE</x:v>
      </x:c>
      <x:c r="B15" s="14" t="str">
        <x:v>HS2086</x:v>
      </x:c>
      <x:c r="C15" s="13" t="str">
        <x:v>SAS IDEC AGRO &amp; FACTORY — FR | BRIOCHES FONTENEAU | BOUFFERE</x:v>
      </x:c>
      <x:c r="D15" s="13" t="str">
        <x:v>Resolvido</x:v>
      </x:c>
      <x:c r="E15" s="13" t="str">
        <x:v>Código e nome/descrição</x:v>
      </x:c>
      <x:c r="F15" s="13" t="str"/>
      <x:c r="G15" s="13" t="str">
        <x:v>FR2086 corresponde a HS2086; termos comuns: bouffere, brioches, fonteneau.</x:v>
      </x:c>
    </x:row>
    <x:row r="16" ht="48" customHeight="1">
      <x:c r="A16" s="13" t="str">
        <x:v>FR2090_SCI MANON</x:v>
      </x:c>
      <x:c r="B16" s="14" t="str">
        <x:v>HS2090</x:v>
      </x:c>
      <x:c r="C16" s="13" t="str">
        <x:v>SCI MANON — REALISATION BAT D &amp; EXT_TOULOUSE</x:v>
      </x:c>
      <x:c r="D16" s="13" t="str">
        <x:v>Resolvido</x:v>
      </x:c>
      <x:c r="E16" s="13" t="str">
        <x:v>Código e nome/descrição</x:v>
      </x:c>
      <x:c r="F16" s="13" t="str"/>
      <x:c r="G16" s="13" t="str">
        <x:v>FR2090 corresponde a HS2090; termos comuns: manon, sci.</x:v>
      </x:c>
    </x:row>
    <x:row r="17" ht="48" customHeight="1">
      <x:c r="A17" s="13" t="str">
        <x:v>FR2165_CORSALIS_SORIGNY</x:v>
      </x:c>
      <x:c r="B17" s="14" t="str">
        <x:v>HS2165</x:v>
      </x:c>
      <x:c r="C17" s="13" t="str">
        <x:v>SAS IDEC SANTE — FR | CORSALIS | SORIGNY</x:v>
      </x:c>
      <x:c r="D17" s="13" t="str">
        <x:v>Resolvido</x:v>
      </x:c>
      <x:c r="E17" s="13" t="str">
        <x:v>Código e nome/descrição</x:v>
      </x:c>
      <x:c r="F17" s="13" t="str"/>
      <x:c r="G17" s="13" t="str">
        <x:v>FR2165 corresponde a HS2165; termos comuns: corsalis, sorigny.</x:v>
      </x:c>
    </x:row>
    <x:row r="18" ht="48" customHeight="1">
      <x:c r="A18" s="13" t="str">
        <x:v>FR2201_Extension SODEXO_MOISSY CRAMAYEL</x:v>
      </x:c>
      <x:c r="B18" s="14" t="str">
        <x:v>HS2201</x:v>
      </x:c>
      <x:c r="C18" s="13" t="str">
        <x:v>SAS CECIA — Extension SODEXO_MOISSY CRAMAYEL</x:v>
      </x:c>
      <x:c r="D18" s="13" t="str">
        <x:v>Resolvido</x:v>
      </x:c>
      <x:c r="E18" s="13" t="str">
        <x:v>Código e nome/descrição</x:v>
      </x:c>
      <x:c r="F18" s="13" t="str"/>
      <x:c r="G18" s="13" t="str">
        <x:v>FR2201 corresponde a HS2201; termos comuns: cramayel, extension, moissy, sodexo.</x:v>
      </x:c>
    </x:row>
    <x:row r="19" ht="48" customHeight="1">
      <x:c r="A19" s="13" t="str">
        <x:v>IDEC Benzons</x:v>
      </x:c>
      <x:c r="B19" s="14" t="str"/>
      <x:c r="C19" s="13" t="str"/>
      <x:c r="D19" s="13" t="str">
        <x:v>Pendente</x:v>
      </x:c>
      <x:c r="E19" s="13" t="str"/>
      <x:c r="F19" s="13" t="str">
        <x:v>HS2056 · GSE · FR | VIRTUO | BEZONS (2026-07-01 a 2026-11-30)</x:v>
      </x:c>
      <x:c r="G19" s="13" t="str">
        <x:v>HS2056 é VIRTUO / BEZONS, mas o cliente registado é GSE; IDEC não confirma a mesma obra.</x:v>
      </x:c>
    </x:row>
    <x:row r="20" ht="128" customHeight="1">
      <x:c r="A20" s="13" t="str">
        <x:v>Nancy intersol</x:v>
      </x:c>
      <x:c r="B20" s="14" t="str"/>
      <x:c r="C20" s="13" t="str"/>
      <x:c r="D20" s="13" t="str">
        <x:v>Pendente</x:v>
      </x:c>
      <x:c r="E20" s="13" t="str"/>
      <x:c r="F20" s="13" t="str">
        <x:v>HS2092 · NANCY CONSTRUCTION · IS | PARKING SOLOREM | NANCY (2026-04-09 a 2026-09-30)
HS2022 · NANCY CONSTRUCTION · IS | TFR | LUDRES (1900-01-01 a 1900-01-01)
HS2025 · NANCY CONSTRUCTION · IS | SIMEA | SARREWERDEN (1900-01-01 a 1900-01-01)
HS2354 · LOR TP · IS2354 CHRU NANCY (2026-08-25 a 2026-09-25)</x:v>
      </x:c>
      <x:c r="G20" s="13" t="str">
        <x:v>HS2092 é a proposta principal; nome genérico. Confirmar se é a mesma obra de parking intersol nancy.</x:v>
      </x:c>
    </x:row>
    <x:row r="21" ht="48" customHeight="1">
      <x:c r="A21" s="13" t="str">
        <x:v>Quartus Courtenay</x:v>
      </x:c>
      <x:c r="B21" s="14" t="str"/>
      <x:c r="C21" s="13" t="str"/>
      <x:c r="D21" s="13" t="str">
        <x:v>Pendente</x:v>
      </x:c>
      <x:c r="E21" s="13" t="str"/>
      <x:c r="F21" s="13" t="str">
        <x:v>HS1969 · QUARTUS LOGISTIQUE · FR | GYMA_Courtenay (2026-05-01 a 2026-08-01)</x:v>
      </x:c>
      <x:c r="G21" s="13" t="str">
        <x:v>Sugestão por nome e localidade: HS1969. Sem código no Excel nem referência explicitamente definida; não importar.</x:v>
      </x:c>
    </x:row>
    <x:row r="22" ht="48" customHeight="1">
      <x:c r="A22" s="13" t="str">
        <x:v>câmara fria paris ramiro</x:v>
      </x:c>
      <x:c r="B22" s="14" t="str"/>
      <x:c r="C22" s="13" t="str"/>
      <x:c r="D22" s="13" t="str">
        <x:v>Pendente</x:v>
      </x:c>
      <x:c r="E22" s="13" t="str"/>
      <x:c r="F22" s="13" t="str"/>
      <x:c r="G22" s="13" t="str">
        <x:v>Sem correspondência inequívoca por nome, descrição ou localidade. Ramiro Santos não identifica esta obra.</x:v>
      </x:c>
    </x:row>
    <x:row r="23" ht="48" customHeight="1">
      <x:c r="A23" s="13" t="str">
        <x:v>faubourg promotion</x:v>
      </x:c>
      <x:c r="B23" s="14" t="str"/>
      <x:c r="C23" s="13" t="str"/>
      <x:c r="D23" s="13" t="str">
        <x:v>Pendente</x:v>
      </x:c>
      <x:c r="E23" s="13" t="str"/>
      <x:c r="F23" s="13" t="str">
        <x:v>HS1600 · SCI SCCV FAUBOURG DU 13 · FAUBOURG DU 13-GAMBSHEIM (2024-07-04 a 2024-07-06)</x:v>
      </x:c>
      <x:c r="G23" s="13" t="str">
        <x:v>HS1600 partilha Faubourg, mas refere uma obra de 2024 em Gambsheim. Correspondência por confirmar.</x:v>
      </x:c>
    </x:row>
    <x:row r="24" ht="160" customHeight="1">
      <x:c r="A24" s="13" t="str">
        <x:v>intersol Manuel sarreguemines</x:v>
      </x:c>
      <x:c r="B24" s="14" t="str"/>
      <x:c r="C24" s="13" t="str"/>
      <x:c r="D24" s="13" t="str">
        <x:v>Pendente</x:v>
      </x:c>
      <x:c r="E24" s="13" t="str"/>
      <x:c r="F24" s="13" t="str">
        <x:v>HS1825 · ALBIZZATI · NORMA | SARREGUEMINES (2026-01-12 a 2026-05-31)
HS2023 · CONTINENTAL FRANCE · IS | LOCAL DECHETS | SARREGUEMINES (1900-01-01 a 1900-01-01)
HS1984 · Eurovia · Salle multisports | SARREGUEMINES (1900-01-01 a 2026-03-31)
HS2325 · SARREGUEDIS · IS | MASTER DRIVE | SARREGUEMINES (1900-01-01 a 1900-01-01)
HS2280 · ZAVAGNO SAS · IS | IME | sarreguemeines (2026-07-06 a 2026-08-31)</x:v>
      </x:c>
      <x:c r="G24" s="13" t="str">
        <x:v>Várias obras em Sarreguemines; Manuel não identifica uma obra de forma inequívoca.</x:v>
      </x:c>
    </x:row>
    <x:row r="25" ht="96" customHeight="1">
      <x:c r="A25" s="13" t="str">
        <x:v>intersol bleyer</x:v>
      </x:c>
      <x:c r="B25" s="14" t="str"/>
      <x:c r="C25" s="13" t="str"/>
      <x:c r="D25" s="13" t="str">
        <x:v>Pendente</x:v>
      </x:c>
      <x:c r="E25" s="13" t="str"/>
      <x:c r="F25" s="13" t="str">
        <x:v>HS2412 · CONSTRUCTIONS BLEYER SARL · IS2412 Bât A et B GUEBWILLER (2026-09-14 a 2026-09-25)
HS2413 · CONSTRUCTIONS BLEYER SARL · IS2413 Bât C HÉSINGUE (2026-09-15 a 2026-09-25)
HS1354 · SARL CONSTRUCTIONS BLEYER · DIVERS CHANTIERS (2022-05-19 a 2030-05-19)</x:v>
      </x:c>
      <x:c r="G25" s="13" t="str">
        <x:v>Cliente com várias obras; Guebwiller (HS2412) e Hésingue (HS2413) têm datas compatíveis. HS1354 é uma referência genérica antiga.</x:v>
      </x:c>
    </x:row>
    <x:row r="26" ht="48" customHeight="1">
      <x:c r="A26" s="13" t="str">
        <x:v>intersol transporte de quartz</x:v>
      </x:c>
      <x:c r="B26" s="14" t="str"/>
      <x:c r="C26" s="13" t="str"/>
      <x:c r="D26" s="13" t="str">
        <x:v>Pendente</x:v>
      </x:c>
      <x:c r="E26" s="13" t="str"/>
      <x:c r="F26" s="13" t="str"/>
      <x:c r="G26" s="13" t="str">
        <x:v>Atividade logística; falta identificar o destino ou a obra associada.</x:v>
      </x:c>
    </x:row>
    <x:row r="27" ht="64" customHeight="1">
      <x:c r="A27" s="13" t="str">
        <x:v>intersol vendenheim</x:v>
      </x:c>
      <x:c r="B27" s="14" t="str"/>
      <x:c r="C27" s="13" t="str"/>
      <x:c r="D27" s="13" t="str">
        <x:v>Pendente</x:v>
      </x:c>
      <x:c r="E27" s="13" t="str"/>
      <x:c r="F27" s="13" t="str">
        <x:v>HS2082 · LCR Les Constructeurs Réunis · IS 2082 PLAT log SIEHR_VENDENHEIM (1900-01-01 a 2026-10-31)
HS2372 · EIFFAGE ROUTE Nord-Est Wolxheim · IS2372 Leroy Merlin VENDENHEIM (2026-09-11 a 2026-10-11)</x:v>
      </x:c>
      <x:c r="G27" s="13" t="str">
        <x:v>Duas obras compatíveis com a localidade e data: SIEHR (HS2082) e Leroy Merlin (HS2372).</x:v>
      </x:c>
    </x:row>
    <x:row r="28" ht="64" customHeight="1">
      <x:c r="A28" s="13" t="str">
        <x:v>parking intersol nancy</x:v>
      </x:c>
      <x:c r="B28" s="14" t="str"/>
      <x:c r="C28" s="13" t="str"/>
      <x:c r="D28" s="13" t="str">
        <x:v>Pendente</x:v>
      </x:c>
      <x:c r="E28" s="13" t="str"/>
      <x:c r="F28" s="13" t="str">
        <x:v>HS2092 · NANCY CONSTRUCTION · IS | PARKING SOLOREM | NANCY (2026-04-09 a 2026-09-30)
HS2431 · MARCEL LECLERC SARL · IS2431 PARKING VANDOEUVRE LES NANCY (2026-10-13 a 2026-11-13)</x:v>
      </x:c>
      <x:c r="G28" s="13" t="str">
        <x:v>HS2092 tem nome, localidade e datas compatíveis; consta no planeamento de outra equipa em 03/09 e 04/09. HS2431 inicia em outubro.</x:v>
      </x:c>
    </x:row>
    <x:row r="29" ht="48" customHeight="1">
      <x:c r="A29" s="13" t="str">
        <x:v>viagem Portugal - França</x:v>
      </x:c>
      <x:c r="B29" s="14" t="str"/>
      <x:c r="C29" s="13" t="str"/>
      <x:c r="D29" s="13" t="str">
        <x:v>Deslocação</x:v>
      </x:c>
      <x:c r="E29" s="13" t="str"/>
      <x:c r="F29" s="13" t="str"/>
      <x:c r="G29" s="13" t="str">
        <x:v>Deslocação sem obra identificada; não criar associação a uma obra.</x:v>
      </x:c>
    </x:row>
    <x:row r="30" ht="48" customHeight="1">
      <x:c r="A30" s="13" t="str">
        <x:v>viagem montargis/moulusse</x:v>
      </x:c>
      <x:c r="B30" s="14" t="str"/>
      <x:c r="C30" s="13" t="str"/>
      <x:c r="D30" s="13" t="str">
        <x:v>Deslocação</x:v>
      </x:c>
      <x:c r="E30" s="13" t="str"/>
      <x:c r="F30" s="13" t="str"/>
      <x:c r="G30" s="13" t="str">
        <x:v>Deslocação sem obra identificada; não criar associação a uma obra.</x:v>
      </x:c>
    </x:row>
    <x:row r="31" ht="48" customHeight="1">
      <x:c r="A31" s="13" t="str">
        <x:v>viagem sozinho França/Portugal de carro</x:v>
      </x:c>
      <x:c r="B31" s="14" t="str"/>
      <x:c r="C31" s="13" t="str"/>
      <x:c r="D31" s="13" t="str">
        <x:v>Deslocação</x:v>
      </x:c>
      <x:c r="E31" s="13" t="str"/>
      <x:c r="F31" s="13" t="str"/>
      <x:c r="G31" s="13" t="str">
        <x:v>Deslocação sem obra identificada; não criar associação a uma obra.</x:v>
      </x:c>
    </x:row>
  </x:sheetData>
  <x:conditionalFormatting sqref="D8:D31">
    <x:cfRule type="containsText" dxfId="2" priority="1" operator="containsText" text="Pendente"/>
  </x:conditionalFormatting>
  <x:pageMargins left="0.7" right="0.7" top="0.75" bottom="0.75" header="0.3" footer="0.3"/>
  <x:tableParts count="1">
    <x:tablePart xmlns:r="http://schemas.openxmlformats.org/officeDocument/2006/relationships" r:id="R049546e9a88546d6"/>
  </x:tableParts>
</x:worksheet>
</file>
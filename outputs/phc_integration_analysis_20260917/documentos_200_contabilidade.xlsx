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478210c7c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os" sheetId="1" r:id="R40aea54e31d9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;(#,##0.00);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172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59236dcf94033" /><Relationship Type="http://schemas.openxmlformats.org/officeDocument/2006/relationships/theme" Target="/xl/theme/theme1.xml" Id="Rddeb3776493e4a29" /><Relationship Type="http://schemas.openxmlformats.org/officeDocument/2006/relationships/sharedStrings" Target="/xl/sharedStrings.xml" Id="R85c2da00cae94061" /><Relationship Type="http://schemas.openxmlformats.org/officeDocument/2006/relationships/worksheet" Target="/xl/worksheets/sheet1.xml" Id="R40aea54e31d94144" /></Relationships>
</file>

<file path=xl/tables/table1.xml><?xml version="1.0" encoding="utf-8"?>
<x:table xmlns:x="http://schemas.openxmlformats.org/spreadsheetml/2006/main" id="1" name="DocumentosPHC" displayName="DocumentosPHC" ref="A1:J201" headerRowCount="1" totalsRowCount="0" totalsRowShown="0">
  <x:autoFilter ref="A1:J201"/>
  <x:tableColumns count="10">
    <x:tableColumn id="1" name="Documento"/>
    <x:tableColumn id="2" name="Data"/>
    <x:tableColumn id="3" name="Fornecedor"/>
    <x:tableColumn id="4" name="Base correta (€)"/>
    <x:tableColumn id="5" name="IVA correto (€)"/>
    <x:tableColumn id="6" name="Total correto (€)"/>
    <x:tableColumn id="7" name="Base contabilidade (€)"/>
    <x:tableColumn id="8" name="IVA contabilidade (€)"/>
    <x:tableColumn id="9" name="Total contabilidade (€)"/>
    <x:tableColumn id="10" name="Diferença IVA (€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476d045aae4db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6" hidden="0" customWidth="1"/>
    <x:col min="2" max="2" width="13" hidden="0" customWidth="1"/>
    <x:col min="3" max="3" width="55" hidden="0" customWidth="1"/>
    <x:col min="4" max="4" width="19" hidden="0" customWidth="1"/>
    <x:col min="5" max="5" width="18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0" hidden="0" customWidth="1"/>
  </x:cols>
  <x:sheetData>
    <x:row r="1" ht="38" customHeight="1">
      <x:c r="A1" s="6" t="str">
        <x:v>Documento</x:v>
      </x:c>
      <x:c r="B1" s="6" t="str">
        <x:v>Data</x:v>
      </x:c>
      <x:c r="C1" s="6" t="str">
        <x:v>Fornecedor</x:v>
      </x:c>
      <x:c r="D1" s="6" t="str">
        <x:v>Base correta (€)</x:v>
      </x:c>
      <x:c r="E1" s="6" t="str">
        <x:v>IVA correto (€)</x:v>
      </x:c>
      <x:c r="F1" s="6" t="str">
        <x:v>Total correto (€)</x:v>
      </x:c>
      <x:c r="G1" s="6" t="str">
        <x:v>Base contabilidade (€)</x:v>
      </x:c>
      <x:c r="H1" s="6" t="str">
        <x:v>IVA contabilidade (€)</x:v>
      </x:c>
      <x:c r="I1" s="6" t="str">
        <x:v>Total contabilidade (€)</x:v>
      </x:c>
      <x:c r="J1" s="6" t="str">
        <x:v>Diferença IVA (€)</x:v>
      </x:c>
    </x:row>
    <x:row r="2" ht="23" customHeight="1">
      <x:c r="A2" s="2" t="str">
        <x:v>V/Fatura FT 2024/31</x:v>
      </x:c>
      <x:c r="B2" s="7" t="n">
        <x:v>46031</x:v>
      </x:c>
      <x:c r="C2" s="2" t="str">
        <x:v>REAL JOBS UNIPESSOAL LDA</x:v>
      </x:c>
      <x:c r="D2" s="9" t="n">
        <x:v>200</x:v>
      </x:c>
      <x:c r="E2" s="9" t="n">
        <x:v>46</x:v>
      </x:c>
      <x:c r="F2" s="9" t="n">
        <x:v>246</x:v>
      </x:c>
      <x:c r="G2" s="9" t="n">
        <x:v>200</x:v>
      </x:c>
      <x:c r="H2" s="9" t="n">
        <x:v>46</x:v>
      </x:c>
      <x:c r="I2" s="9" t="n">
        <x:v>246</x:v>
      </x:c>
      <x:c r="J2" s="9" t="n">
        <x:f>IF(H2="","",ROUND(H2-E2,2))</x:f>
        <x:v>0</x:v>
      </x:c>
    </x:row>
    <x:row r="3" ht="23" customHeight="1">
      <x:c r="A3" s="2" t="str">
        <x:v>V/Fatura Recibo 861061383</x:v>
      </x:c>
      <x:c r="B3" s="7" t="n">
        <x:v>46076</x:v>
      </x:c>
      <x:c r="C3" s="2" t="str">
        <x:v>MEO - SERVIÇOS DE COMUNICAÇÕES E MULTIMÉDIA S.A.</x:v>
      </x:c>
      <x:c r="D3" s="9" t="n">
        <x:v>347.35</x:v>
      </x:c>
      <x:c r="E3" s="9" t="n">
        <x:v>79.89</x:v>
      </x:c>
      <x:c r="F3" s="9" t="n">
        <x:v>427.24</x:v>
      </x:c>
      <x:c r="G3" s="9" t="n">
        <x:v>347.35</x:v>
      </x:c>
      <x:c r="H3" s="9" t="n">
        <x:v>79.89</x:v>
      </x:c>
      <x:c r="I3" s="9" t="n">
        <x:v>427.24</x:v>
      </x:c>
      <x:c r="J3" s="9" t="n">
        <x:f>IF(H3="","",ROUND(H3-E3,2))</x:f>
        <x:v>0</x:v>
      </x:c>
    </x:row>
    <x:row r="4" ht="23" customHeight="1">
      <x:c r="A4" s="2" t="str">
        <x:v>V/Fatura 2150707444</x:v>
      </x:c>
      <x:c r="B4" s="7" t="n">
        <x:v>46081</x:v>
      </x:c>
      <x:c r="C4" s="2" t="str">
        <x:v>PETROGAL, S.A.</x:v>
      </x:c>
      <x:c r="D4" s="9" t="n">
        <x:v>78.38</x:v>
      </x:c>
      <x:c r="E4" s="9" t="n">
        <x:v>18.03</x:v>
      </x:c>
      <x:c r="F4" s="9" t="n">
        <x:v>96.41</x:v>
      </x:c>
      <x:c r="G4" s="9" t="n">
        <x:v>87.39</x:v>
      </x:c>
      <x:c r="H4" s="9" t="n">
        <x:v>9.02</x:v>
      </x:c>
      <x:c r="I4" s="9" t="n">
        <x:v>96.41</x:v>
      </x:c>
      <x:c r="J4" s="9" t="n">
        <x:f>IF(H4="","",ROUND(H4-E4,2))</x:f>
        <x:v>-9.01</x:v>
      </x:c>
    </x:row>
    <x:row r="5" ht="23" customHeight="1">
      <x:c r="A5" s="2" t="str">
        <x:v>V/Fatura FT M/2328</x:v>
      </x:c>
      <x:c r="B5" s="7" t="n">
        <x:v>46087</x:v>
      </x:c>
      <x:c r="C5" s="2" t="str">
        <x:v>LAVANDARIA BARREIROS LDA</x:v>
      </x:c>
      <x:c r="D5" s="9" t="n">
        <x:v>264.63</x:v>
      </x:c>
      <x:c r="E5" s="9" t="n">
        <x:v>60.87</x:v>
      </x:c>
      <x:c r="F5" s="9" t="n">
        <x:v>325.5</x:v>
      </x:c>
      <x:c r="G5" s="9" t="n">
        <x:v>264.63</x:v>
      </x:c>
      <x:c r="H5" s="9" t="n">
        <x:v>60.87</x:v>
      </x:c>
      <x:c r="I5" s="9" t="n">
        <x:v>325.5</x:v>
      </x:c>
      <x:c r="J5" s="9" t="n">
        <x:f>IF(H5="","",ROUND(H5-E5,2))</x:f>
        <x:v>0</x:v>
      </x:c>
    </x:row>
    <x:row r="6" ht="23" customHeight="1">
      <x:c r="A6" s="2" t="str">
        <x:v>V/Fatura 2347</x:v>
      </x:c>
      <x:c r="B6" s="7" t="n">
        <x:v>46112</x:v>
      </x:c>
      <x:c r="C6" s="2" t="str">
        <x:v>LAVANDARIA BARREIROS LDA</x:v>
      </x:c>
      <x:c r="D6" s="9" t="n">
        <x:v>215.12</x:v>
      </x:c>
      <x:c r="E6" s="9" t="n">
        <x:v>49.48</x:v>
      </x:c>
      <x:c r="F6" s="9" t="n">
        <x:v>264.6</x:v>
      </x:c>
      <x:c r="G6" s="9" t="n">
        <x:v>215.12</x:v>
      </x:c>
      <x:c r="H6" s="9" t="n">
        <x:v>49.48</x:v>
      </x:c>
      <x:c r="I6" s="9" t="n">
        <x:v>264.6</x:v>
      </x:c>
      <x:c r="J6" s="9" t="n">
        <x:f>IF(H6="","",ROUND(H6-E6,2))</x:f>
        <x:v>0</x:v>
      </x:c>
    </x:row>
    <x:row r="7" ht="23" customHeight="1">
      <x:c r="A7" s="2" t="str">
        <x:v>V/Fatura Recibo FR Q26/0757505</x:v>
      </x:c>
      <x:c r="B7" s="7" t="n">
        <x:v>46113</x:v>
      </x:c>
      <x:c r="C7" s="2" t="str">
        <x:v>SECURITAS DIRECT PORTUGAL UNIPESSOAL LDA</x:v>
      </x:c>
      <x:c r="D7" s="9" t="n">
        <x:v>38</x:v>
      </x:c>
      <x:c r="E7" s="9" t="n">
        <x:v>8.74</x:v>
      </x:c>
      <x:c r="F7" s="9" t="n">
        <x:v>46.74</x:v>
      </x:c>
      <x:c r="G7" s="9" t="n">
        <x:v>38</x:v>
      </x:c>
      <x:c r="H7" s="9" t="n">
        <x:v>8.74</x:v>
      </x:c>
      <x:c r="I7" s="9" t="n">
        <x:v>46.74</x:v>
      </x:c>
      <x:c r="J7" s="9" t="n">
        <x:f>IF(H7="","",ROUND(H7-E7,2))</x:f>
        <x:v>0</x:v>
      </x:c>
    </x:row>
    <x:row r="8" ht="23" customHeight="1">
      <x:c r="A8" s="2" t="str">
        <x:v>V/Fatura 58</x:v>
      </x:c>
      <x:c r="B8" s="7" t="n">
        <x:v>46118</x:v>
      </x:c>
      <x:c r="C8" s="2" t="str">
        <x:v>JORGE GONÇALVES PEREIRA UNIPESSOAL LDA</x:v>
      </x:c>
      <x:c r="D8" s="9" t="n">
        <x:v>40.65</x:v>
      </x:c>
      <x:c r="E8" s="9" t="n">
        <x:v>9.35</x:v>
      </x:c>
      <x:c r="F8" s="9" t="n">
        <x:v>50</x:v>
      </x:c>
      <x:c r="G8" s="9" t="n">
        <x:v>31.3</x:v>
      </x:c>
      <x:c r="H8" s="9" t="n">
        <x:v>18.7</x:v>
      </x:c>
      <x:c r="I8" s="9" t="n">
        <x:v>50</x:v>
      </x:c>
      <x:c r="J8" s="9" t="n">
        <x:f>IF(H8="","",ROUND(H8-E8,2))</x:f>
        <x:v>9.35</x:v>
      </x:c>
    </x:row>
    <x:row r="9" ht="23" customHeight="1">
      <x:c r="A9" s="2" t="str">
        <x:v>V/Fatura 59</x:v>
      </x:c>
      <x:c r="B9" s="7" t="n">
        <x:v>46118</x:v>
      </x:c>
      <x:c r="C9" s="2" t="str">
        <x:v>JORGE GONÇALVES PEREIRA UNIPESSOAL LDA</x:v>
      </x:c>
      <x:c r="D9" s="9" t="n">
        <x:v>73.17</x:v>
      </x:c>
      <x:c r="E9" s="9" t="n">
        <x:v>16.83</x:v>
      </x:c>
      <x:c r="F9" s="9" t="n">
        <x:v>90</x:v>
      </x:c>
      <x:c r="G9" s="9" t="n">
        <x:v>56.34</x:v>
      </x:c>
      <x:c r="H9" s="9" t="n">
        <x:v>33.66</x:v>
      </x:c>
      <x:c r="I9" s="9" t="n">
        <x:v>90</x:v>
      </x:c>
      <x:c r="J9" s="9" t="n">
        <x:f>IF(H9="","",ROUND(H9-E9,2))</x:f>
        <x:v>16.83</x:v>
      </x:c>
    </x:row>
    <x:row r="10" ht="23" customHeight="1">
      <x:c r="A10" s="2" t="str">
        <x:v>V/Fatura FT A/1387</x:v>
      </x:c>
      <x:c r="B10" s="7" t="n">
        <x:v>46119</x:v>
      </x:c>
      <x:c r="C10" s="2" t="str">
        <x:v>SO COLCHÃO LDA</x:v>
      </x:c>
      <x:c r="D10" s="9" t="n">
        <x:v>1302.73</x:v>
      </x:c>
      <x:c r="E10" s="9" t="n">
        <x:v>299.63</x:v>
      </x:c>
      <x:c r="F10" s="9" t="n">
        <x:v>1602.36</x:v>
      </x:c>
      <x:c r="G10" s="9" t="n">
        <x:v>1003.1</x:v>
      </x:c>
      <x:c r="H10" s="9" t="n">
        <x:v>599.26</x:v>
      </x:c>
      <x:c r="I10" s="9" t="n">
        <x:v>1602.36</x:v>
      </x:c>
      <x:c r="J10" s="9" t="n">
        <x:f>IF(H10="","",ROUND(H10-E10,2))</x:f>
        <x:v>299.63</x:v>
      </x:c>
    </x:row>
    <x:row r="11" ht="23" customHeight="1">
      <x:c r="A11" s="2" t="str">
        <x:v>V/Fatura Recibo FR AAD897/255759</x:v>
      </x:c>
      <x:c r="B11" s="7" t="n">
        <x:v>46120</x:v>
      </x:c>
      <x:c r="C11" s="2" t="str">
        <x:v>MODELO CONTINENTE HIPERMERCADOS S A</x:v>
      </x:c>
      <x:c r="D11" s="9" t="n">
        <x:v>104.16</x:v>
      </x:c>
      <x:c r="E11" s="9" t="n">
        <x:v>21.74</x:v>
      </x:c>
      <x:c r="F11" s="9" t="n">
        <x:v>125.9</x:v>
      </x:c>
      <x:c r="G11" s="9" t="n">
        <x:v>82.41</x:v>
      </x:c>
      <x:c r="H11" s="9" t="n">
        <x:v>43.49</x:v>
      </x:c>
      <x:c r="I11" s="9" t="n">
        <x:v>125.9</x:v>
      </x:c>
      <x:c r="J11" s="9" t="n">
        <x:f>IF(H11="","",ROUND(H11-E11,2))</x:f>
        <x:v>21.75</x:v>
      </x:c>
    </x:row>
    <x:row r="12" ht="23" customHeight="1">
      <x:c r="A12" s="2" t="str">
        <x:v>V/Fatura FT 2026/61</x:v>
      </x:c>
      <x:c r="B12" s="7" t="n">
        <x:v>46121</x:v>
      </x:c>
      <x:c r="C12" s="2" t="str">
        <x:v>JORGE GONÇALVES PEREIRA UNIPESSOAL LDA</x:v>
      </x:c>
      <x:c r="D12" s="9" t="n">
        <x:v>191.06</x:v>
      </x:c>
      <x:c r="E12" s="9" t="n">
        <x:v>43.94</x:v>
      </x:c>
      <x:c r="F12" s="9" t="n">
        <x:v>235</x:v>
      </x:c>
      <x:c r="G12" s="9" t="n">
        <x:v>147.11</x:v>
      </x:c>
      <x:c r="H12" s="9" t="n">
        <x:v>87.89</x:v>
      </x:c>
      <x:c r="I12" s="9" t="n">
        <x:v>235</x:v>
      </x:c>
      <x:c r="J12" s="9" t="n">
        <x:f>IF(H12="","",ROUND(H12-E12,2))</x:f>
        <x:v>43.95</x:v>
      </x:c>
    </x:row>
    <x:row r="13" ht="23" customHeight="1">
      <x:c r="A13" s="2" t="str">
        <x:v>V/Fatura FT 2026/61</x:v>
      </x:c>
      <x:c r="B13" s="7" t="n">
        <x:v>46124</x:v>
      </x:c>
      <x:c r="C13" s="2" t="str">
        <x:v>NARRATIVA INTELIGENTE LDA</x:v>
      </x:c>
      <x:c r="D13" s="9" t="n">
        <x:v>180</x:v>
      </x:c>
      <x:c r="E13" s="9" t="n">
        <x:v>41.4</x:v>
      </x:c>
      <x:c r="F13" s="9" t="n">
        <x:v>221.4</x:v>
      </x:c>
      <x:c r="G13" s="9" t="n">
        <x:v>180</x:v>
      </x:c>
      <x:c r="H13" s="9" t="n">
        <x:v>41.4</x:v>
      </x:c>
      <x:c r="I13" s="9" t="n">
        <x:v>221.4</x:v>
      </x:c>
      <x:c r="J13" s="9" t="n">
        <x:f>IF(H13="","",ROUND(H13-E13,2))</x:f>
        <x:v>0</x:v>
      </x:c>
    </x:row>
    <x:row r="14" ht="23" customHeight="1">
      <x:c r="A14" s="2" t="str">
        <x:v>V/Fatura FAC 262/67</x:v>
      </x:c>
      <x:c r="B14" s="7" t="n">
        <x:v>46127</x:v>
      </x:c>
      <x:c r="C14" s="2" t="str">
        <x:v>REGRAS E VISÃO LDA</x:v>
      </x:c>
      <x:c r="D14" s="9" t="n">
        <x:v>529.46</x:v>
      </x:c>
      <x:c r="E14" s="9" t="n">
        <x:v>121.78</x:v>
      </x:c>
      <x:c r="F14" s="9" t="n">
        <x:v>651.24</x:v>
      </x:c>
      <x:c r="G14" s="9" t="n">
        <x:v>407.69</x:v>
      </x:c>
      <x:c r="H14" s="9" t="n">
        <x:v>243.55</x:v>
      </x:c>
      <x:c r="I14" s="9" t="n">
        <x:v>651.24</x:v>
      </x:c>
      <x:c r="J14" s="9" t="n">
        <x:f>IF(H14="","",ROUND(H14-E14,2))</x:f>
        <x:v>121.77</x:v>
      </x:c>
    </x:row>
    <x:row r="15" ht="23" customHeight="1">
      <x:c r="A15" s="2" t="str">
        <x:v>V/Fatura FAC 1/287</x:v>
      </x:c>
      <x:c r="B15" s="7" t="n">
        <x:v>46128</x:v>
      </x:c>
      <x:c r="C15" s="2" t="str">
        <x:v>REDECUPE, UNIPESSOAL, LDA</x:v>
      </x:c>
      <x:c r="D15" s="9" t="n">
        <x:v>158.15</x:v>
      </x:c>
      <x:c r="E15" s="9" t="n">
        <x:v>36.37</x:v>
      </x:c>
      <x:c r="F15" s="9" t="n">
        <x:v>194.52</x:v>
      </x:c>
      <x:c r="G15" s="9" t="n">
        <x:v>121.77</x:v>
      </x:c>
      <x:c r="H15" s="9" t="n">
        <x:v>72.75</x:v>
      </x:c>
      <x:c r="I15" s="9" t="n">
        <x:v>194.52</x:v>
      </x:c>
      <x:c r="J15" s="9" t="n">
        <x:f>IF(H15="","",ROUND(H15-E15,2))</x:f>
        <x:v>36.38</x:v>
      </x:c>
    </x:row>
    <x:row r="16" ht="23" customHeight="1">
      <x:c r="A16" s="2" t="str">
        <x:v>V/Fatura FT FA.2026K/36</x:v>
      </x:c>
      <x:c r="B16" s="7" t="n">
        <x:v>46129</x:v>
      </x:c>
      <x:c r="C16" s="2" t="str">
        <x:v>EASYWASH UNIPESSOAL, LDA</x:v>
      </x:c>
      <x:c r="D16" s="9" t="n">
        <x:v>502.44</x:v>
      </x:c>
      <x:c r="E16" s="9" t="n">
        <x:v>115.56</x:v>
      </x:c>
      <x:c r="F16" s="9" t="n">
        <x:v>618</x:v>
      </x:c>
      <x:c r="G16" s="9" t="n">
        <x:v>386.88</x:v>
      </x:c>
      <x:c r="H16" s="9" t="n">
        <x:v>231.12</x:v>
      </x:c>
      <x:c r="I16" s="9" t="n">
        <x:v>618</x:v>
      </x:c>
      <x:c r="J16" s="9" t="n">
        <x:f>IF(H16="","",ROUND(H16-E16,2))</x:f>
        <x:v>115.56</x:v>
      </x:c>
    </x:row>
    <x:row r="17" ht="23" customHeight="1">
      <x:c r="A17" s="2" t="str">
        <x:v>V/Fatura FT FA.2026L/5</x:v>
      </x:c>
      <x:c r="B17" s="7" t="n">
        <x:v>46129</x:v>
      </x:c>
      <x:c r="C17" s="2" t="str">
        <x:v>EASYWASH UNIPESSOAL, LDA</x:v>
      </x:c>
      <x:c r="D17" s="9" t="n">
        <x:v>9</x:v>
      </x:c>
      <x:c r="E17" s="9" t="n">
        <x:v>2.07</x:v>
      </x:c>
      <x:c r="F17" s="9" t="n">
        <x:v>11.07</x:v>
      </x:c>
      <x:c r="G17" s="9" t="n">
        <x:v>6.93</x:v>
      </x:c>
      <x:c r="H17" s="9" t="n">
        <x:v>4.14</x:v>
      </x:c>
      <x:c r="I17" s="9" t="n">
        <x:v>11.07</x:v>
      </x:c>
      <x:c r="J17" s="9" t="n">
        <x:f>IF(H17="","",ROUND(H17-E17,2))</x:f>
        <x:v>2.07</x:v>
      </x:c>
    </x:row>
    <x:row r="18" ht="23" customHeight="1">
      <x:c r="A18" s="2" t="str">
        <x:v>V/Fatura FT 2026/65</x:v>
      </x:c>
      <x:c r="B18" s="7" t="n">
        <x:v>46134</x:v>
      </x:c>
      <x:c r="C18" s="2" t="str">
        <x:v>JORGE GONÇALVES PEREIRA UNIPESSOAL LDA</x:v>
      </x:c>
      <x:c r="D18" s="9" t="n">
        <x:v>260.16</x:v>
      </x:c>
      <x:c r="E18" s="9" t="n">
        <x:v>59.84</x:v>
      </x:c>
      <x:c r="F18" s="9" t="n">
        <x:v>320</x:v>
      </x:c>
      <x:c r="G18" s="9" t="n">
        <x:v>200.32</x:v>
      </x:c>
      <x:c r="H18" s="9" t="n">
        <x:v>119.68</x:v>
      </x:c>
      <x:c r="I18" s="9" t="n">
        <x:v>320</x:v>
      </x:c>
      <x:c r="J18" s="9" t="n">
        <x:f>IF(H18="","",ROUND(H18-E18,2))</x:f>
        <x:v>59.84</x:v>
      </x:c>
    </x:row>
    <x:row r="19" ht="23" customHeight="1">
      <x:c r="A19" s="2" t="str">
        <x:v>V/Fatura FAC 1/292</x:v>
      </x:c>
      <x:c r="B19" s="7" t="n">
        <x:v>46134</x:v>
      </x:c>
      <x:c r="C19" s="2" t="str">
        <x:v>REDECUPE, UNIPESSOAL, LDA</x:v>
      </x:c>
      <x:c r="D19" s="9" t="n">
        <x:v>125.41</x:v>
      </x:c>
      <x:c r="E19" s="9" t="n">
        <x:v>28.84</x:v>
      </x:c>
      <x:c r="F19" s="9" t="n">
        <x:v>154.25</x:v>
      </x:c>
      <x:c r="G19" s="9" t="n">
        <x:v>96.56</x:v>
      </x:c>
      <x:c r="H19" s="9" t="n">
        <x:v>57.69</x:v>
      </x:c>
      <x:c r="I19" s="9" t="n">
        <x:v>154.25</x:v>
      </x:c>
      <x:c r="J19" s="9" t="n">
        <x:f>IF(H19="","",ROUND(H19-E19,2))</x:f>
        <x:v>28.85</x:v>
      </x:c>
    </x:row>
    <x:row r="20" ht="23" customHeight="1">
      <x:c r="A20" s="2" t="str">
        <x:v>V/Fatura FAC 1/293</x:v>
      </x:c>
      <x:c r="B20" s="7" t="n">
        <x:v>46134</x:v>
      </x:c>
      <x:c r="C20" s="2" t="str">
        <x:v>REDECUPE, UNIPESSOAL, LDA</x:v>
      </x:c>
      <x:c r="D20" s="9" t="n">
        <x:v>85</x:v>
      </x:c>
      <x:c r="E20" s="9" t="n">
        <x:v>19.55</x:v>
      </x:c>
      <x:c r="F20" s="9" t="n">
        <x:v>104.55</x:v>
      </x:c>
      <x:c r="G20" s="9" t="n">
        <x:v>65.45</x:v>
      </x:c>
      <x:c r="H20" s="9" t="n">
        <x:v>39.1</x:v>
      </x:c>
      <x:c r="I20" s="9" t="n">
        <x:v>104.55</x:v>
      </x:c>
      <x:c r="J20" s="9" t="n">
        <x:f>IF(H20="","",ROUND(H20-E20,2))</x:f>
        <x:v>19.55</x:v>
      </x:c>
    </x:row>
    <x:row r="21" ht="23" customHeight="1">
      <x:c r="A21" s="2" t="str">
        <x:v>V/Fatura FAC 1/294</x:v>
      </x:c>
      <x:c r="B21" s="7" t="n">
        <x:v>46135</x:v>
      </x:c>
      <x:c r="C21" s="2" t="str">
        <x:v>REDECUPE, UNIPESSOAL, LDA</x:v>
      </x:c>
      <x:c r="D21" s="9" t="n">
        <x:v>180</x:v>
      </x:c>
      <x:c r="E21" s="9" t="n">
        <x:v>41.4</x:v>
      </x:c>
      <x:c r="F21" s="9" t="n">
        <x:v>221.4</x:v>
      </x:c>
      <x:c r="G21" s="9" t="n">
        <x:v>180</x:v>
      </x:c>
      <x:c r="H21" s="9" t="n">
        <x:v>41.4</x:v>
      </x:c>
      <x:c r="I21" s="9" t="n">
        <x:v>221.4</x:v>
      </x:c>
      <x:c r="J21" s="9" t="n">
        <x:f>IF(H21="","",ROUND(H21-E21,2))</x:f>
        <x:v>0</x:v>
      </x:c>
    </x:row>
    <x:row r="22" ht="23" customHeight="1">
      <x:c r="A22" s="2" t="str">
        <x:v>V/Fatura Recibo FR ATSIRE01FR/104</x:v>
      </x:c>
      <x:c r="B22" s="7" t="n">
        <x:v>46137</x:v>
      </x:c>
      <x:c r="C22" s="2" t="str">
        <x:v>ADELINO JORGE SALGUEIRO CARDOSO</x:v>
      </x:c>
      <x:c r="D22" s="9" t="n">
        <x:v>545</x:v>
      </x:c>
      <x:c r="E22" s="9" t="n">
        <x:v>125.35</x:v>
      </x:c>
      <x:c r="F22" s="9" t="n">
        <x:v>670.35</x:v>
      </x:c>
      <x:c r="G22" s="9" t="n">
        <x:v>545</x:v>
      </x:c>
      <x:c r="H22" s="9" t="n">
        <x:v>125.35</x:v>
      </x:c>
      <x:c r="I22" s="9" t="n">
        <x:v>670.35</x:v>
      </x:c>
      <x:c r="J22" s="9" t="n">
        <x:f>IF(H22="","",ROUND(H22-E22,2))</x:f>
        <x:v>0</x:v>
      </x:c>
    </x:row>
    <x:row r="23" ht="23" customHeight="1">
      <x:c r="A23" s="2" t="str">
        <x:v>V/Fatura 112882131</x:v>
      </x:c>
      <x:c r="B23" s="7" t="n">
        <x:v>46137</x:v>
      </x:c>
      <x:c r="C23" s="2" t="str">
        <x:v>VODAFONE PORTUGAL - COMUNICAÇÕES PESSOAIS S A</x:v>
      </x:c>
      <x:c r="D23" s="9" t="n">
        <x:v>196.09</x:v>
      </x:c>
      <x:c r="E23" s="9" t="n">
        <x:v>45.1</x:v>
      </x:c>
      <x:c r="F23" s="9" t="n">
        <x:v>241.19</x:v>
      </x:c>
      <x:c r="G23" s="9" t="n">
        <x:v>150.99</x:v>
      </x:c>
      <x:c r="H23" s="9" t="n">
        <x:v>90.2</x:v>
      </x:c>
      <x:c r="I23" s="9" t="n">
        <x:v>241.19</x:v>
      </x:c>
      <x:c r="J23" s="9" t="n">
        <x:f>IF(H23="","",ROUND(H23-E23,2))</x:f>
        <x:v>45.1</x:v>
      </x:c>
    </x:row>
    <x:row r="24" ht="23" customHeight="1">
      <x:c r="A24" s="2" t="str">
        <x:v>V/Fatura Recibo FS 20260016202/025044</x:v>
      </x:c>
      <x:c r="B24" s="7" t="n">
        <x:v>46140</x:v>
      </x:c>
      <x:c r="C24" s="2" t="str">
        <x:v>BCM BRICOLAGE S A</x:v>
      </x:c>
      <x:c r="D24" s="9" t="n">
        <x:v>143.27</x:v>
      </x:c>
      <x:c r="E24" s="9" t="n">
        <x:v>32.95</x:v>
      </x:c>
      <x:c r="F24" s="9" t="n">
        <x:v>176.22</x:v>
      </x:c>
      <x:c r="G24" s="9" t="n">
        <x:v>110.32</x:v>
      </x:c>
      <x:c r="H24" s="9" t="n">
        <x:v>65.9</x:v>
      </x:c>
      <x:c r="I24" s="9" t="n">
        <x:v>176.22</x:v>
      </x:c>
      <x:c r="J24" s="9" t="n">
        <x:f>IF(H24="","",ROUND(H24-E24,2))</x:f>
        <x:v>32.95</x:v>
      </x:c>
    </x:row>
    <x:row r="25" ht="23" customHeight="1">
      <x:c r="A25" s="2" t="str">
        <x:v>V/Fatura 1 2026/2</x:v>
      </x:c>
      <x:c r="B25" s="7" t="n">
        <x:v>46140</x:v>
      </x:c>
      <x:c r="C25" s="2" t="str">
        <x:v>BICA13, Lda</x:v>
      </x:c>
      <x:c r="D25" s="9" t="n">
        <x:v>18800</x:v>
      </x:c>
      <x:c r="E25" s="9" t="n">
        <x:v>4324</x:v>
      </x:c>
      <x:c r="F25" s="9" t="n">
        <x:v>23124</x:v>
      </x:c>
      <x:c r="G25" s="9" t="n">
        <x:v>18800</x:v>
      </x:c>
      <x:c r="H25" s="9" t="n">
        <x:v>4324</x:v>
      </x:c>
      <x:c r="I25" s="9" t="n">
        <x:v>23124</x:v>
      </x:c>
      <x:c r="J25" s="9" t="n">
        <x:f>IF(H25="","",ROUND(H25-E25,2))</x:f>
        <x:v>0</x:v>
      </x:c>
    </x:row>
    <x:row r="26" ht="23" customHeight="1">
      <x:c r="A26" s="2" t="str">
        <x:v>V/Fatura 1 2026/3</x:v>
      </x:c>
      <x:c r="B26" s="7" t="n">
        <x:v>46140</x:v>
      </x:c>
      <x:c r="C26" s="2" t="str">
        <x:v>BICA13, Lda</x:v>
      </x:c>
      <x:c r="D26" s="9" t="n">
        <x:v>9500</x:v>
      </x:c>
      <x:c r="E26" s="9" t="n">
        <x:v>2185</x:v>
      </x:c>
      <x:c r="F26" s="9" t="n">
        <x:v>11685</x:v>
      </x:c>
      <x:c r="G26" s="9" t="n">
        <x:v>9500</x:v>
      </x:c>
      <x:c r="H26" s="9" t="n">
        <x:v>2185</x:v>
      </x:c>
      <x:c r="I26" s="9" t="n">
        <x:v>11685</x:v>
      </x:c>
      <x:c r="J26" s="9" t="n">
        <x:f>IF(H26="","",ROUND(H26-E26,2))</x:f>
        <x:v>0</x:v>
      </x:c>
    </x:row>
    <x:row r="27" ht="23" customHeight="1">
      <x:c r="A27" s="2" t="str">
        <x:v>V/Fatura FAC 1/296</x:v>
      </x:c>
      <x:c r="B27" s="7" t="n">
        <x:v>46140</x:v>
      </x:c>
      <x:c r="C27" s="2" t="str">
        <x:v>REDECUPE, UNIPESSOAL, LDA</x:v>
      </x:c>
      <x:c r="D27" s="9" t="n">
        <x:v>210</x:v>
      </x:c>
      <x:c r="E27" s="9" t="n">
        <x:v>48.3</x:v>
      </x:c>
      <x:c r="F27" s="9" t="n">
        <x:v>258.3</x:v>
      </x:c>
      <x:c r="G27" s="9" t="n">
        <x:v>161.7</x:v>
      </x:c>
      <x:c r="H27" s="9" t="n">
        <x:v>96.6</x:v>
      </x:c>
      <x:c r="I27" s="9" t="n">
        <x:v>258.3</x:v>
      </x:c>
      <x:c r="J27" s="9" t="n">
        <x:f>IF(H27="","",ROUND(H27-E27,2))</x:f>
        <x:v>48.3</x:v>
      </x:c>
    </x:row>
    <x:row r="28" ht="23" customHeight="1">
      <x:c r="A28" s="2" t="str">
        <x:v>V/Fatura FR 2026A11/37</x:v>
      </x:c>
      <x:c r="B28" s="7" t="n">
        <x:v>46141</x:v>
      </x:c>
      <x:c r="C28" s="2" t="str">
        <x:v>GUILHERME SILVA E GOMES SUCRS LDA</x:v>
      </x:c>
      <x:c r="D28" s="9" t="n">
        <x:v>139.43</x:v>
      </x:c>
      <x:c r="E28" s="9" t="n">
        <x:v>32.07</x:v>
      </x:c>
      <x:c r="F28" s="9" t="n">
        <x:v>171.5</x:v>
      </x:c>
      <x:c r="G28" s="9" t="n">
        <x:v>107.36</x:v>
      </x:c>
      <x:c r="H28" s="9" t="n">
        <x:v>64.14</x:v>
      </x:c>
      <x:c r="I28" s="9" t="n">
        <x:v>171.5</x:v>
      </x:c>
      <x:c r="J28" s="9" t="n">
        <x:f>IF(H28="","",ROUND(H28-E28,2))</x:f>
        <x:v>32.07</x:v>
      </x:c>
    </x:row>
    <x:row r="29" ht="23" customHeight="1">
      <x:c r="A29" s="2" t="str">
        <x:v>V/Fatura FAC E26/163</x:v>
      </x:c>
      <x:c r="B29" s="7" t="n">
        <x:v>46142</x:v>
      </x:c>
      <x:c r="C29" s="2" t="str">
        <x:v>CPGEST - CONTABILIDADE GESTÃO E CONSULTORIA LDA</x:v>
      </x:c>
      <x:c r="D29" s="9" t="n">
        <x:v>300</x:v>
      </x:c>
      <x:c r="E29" s="9" t="n">
        <x:v>69</x:v>
      </x:c>
      <x:c r="F29" s="9" t="n">
        <x:v>369</x:v>
      </x:c>
      <x:c r="G29" s="9" t="n">
        <x:v>300</x:v>
      </x:c>
      <x:c r="H29" s="9" t="n">
        <x:v>69</x:v>
      </x:c>
      <x:c r="I29" s="9" t="n">
        <x:v>369</x:v>
      </x:c>
      <x:c r="J29" s="9" t="n">
        <x:f>IF(H29="","",ROUND(H29-E29,2))</x:f>
        <x:v>0</x:v>
      </x:c>
    </x:row>
    <x:row r="30" ht="23" customHeight="1">
      <x:c r="A30" s="2" t="str">
        <x:v>V/Fatura FT FA.2026K/42</x:v>
      </x:c>
      <x:c r="B30" s="7" t="n">
        <x:v>46142</x:v>
      </x:c>
      <x:c r="C30" s="2" t="str">
        <x:v>EASYWASH UNIPESSOAL, LDA</x:v>
      </x:c>
      <x:c r="D30" s="9" t="n">
        <x:v>477.18</x:v>
      </x:c>
      <x:c r="E30" s="9" t="n">
        <x:v>109.75</x:v>
      </x:c>
      <x:c r="F30" s="9" t="n">
        <x:v>586.93</x:v>
      </x:c>
      <x:c r="G30" s="9" t="n">
        <x:v>367.43</x:v>
      </x:c>
      <x:c r="H30" s="9" t="n">
        <x:v>219.5</x:v>
      </x:c>
      <x:c r="I30" s="9" t="n">
        <x:v>586.93</x:v>
      </x:c>
      <x:c r="J30" s="9" t="n">
        <x:f>IF(H30="","",ROUND(H30-E30,2))</x:f>
        <x:v>109.75</x:v>
      </x:c>
    </x:row>
    <x:row r="31" ht="23" customHeight="1">
      <x:c r="A31" s="2" t="str">
        <x:v>V/Fatura FT 2025/63</x:v>
      </x:c>
      <x:c r="B31" s="7" t="n">
        <x:v>46142</x:v>
      </x:c>
      <x:c r="C31" s="2" t="str">
        <x:v>HABILIDADE PERFUMADA LDA</x:v>
      </x:c>
      <x:c r="D31" s="9" t="n">
        <x:v>3420.3</x:v>
      </x:c>
      <x:c r="E31" s="9" t="n">
        <x:v>786.67</x:v>
      </x:c>
      <x:c r="F31" s="9" t="n">
        <x:v>4206.97</x:v>
      </x:c>
      <x:c r="G31" s="9" t="n">
        <x:v>2633.63</x:v>
      </x:c>
      <x:c r="H31" s="9" t="n">
        <x:v>1573.34</x:v>
      </x:c>
      <x:c r="I31" s="9" t="n">
        <x:v>4206.97</x:v>
      </x:c>
      <x:c r="J31" s="9" t="n">
        <x:f>IF(H31="","",ROUND(H31-E31,2))</x:f>
        <x:v>786.67</x:v>
      </x:c>
    </x:row>
    <x:row r="32" ht="23" customHeight="1">
      <x:c r="A32" s="2" t="str">
        <x:v>V/Fatura 193091</x:v>
      </x:c>
      <x:c r="B32" s="7" t="n">
        <x:v>46142</x:v>
      </x:c>
      <x:c r="C32" s="2" t="str">
        <x:v>IKEA PORTUGAL MOVEIS E DECORAÇÃO LDA</x:v>
      </x:c>
      <x:c r="D32" s="9" t="n">
        <x:v>408.59</x:v>
      </x:c>
      <x:c r="E32" s="9" t="n">
        <x:v>93.97</x:v>
      </x:c>
      <x:c r="F32" s="9" t="n">
        <x:v>502.56</x:v>
      </x:c>
      <x:c r="G32" s="9" t="n">
        <x:v>314.61</x:v>
      </x:c>
      <x:c r="H32" s="9" t="n">
        <x:v>187.95</x:v>
      </x:c>
      <x:c r="I32" s="9" t="n">
        <x:v>502.56</x:v>
      </x:c>
      <x:c r="J32" s="9" t="n">
        <x:f>IF(H32="","",ROUND(H32-E32,2))</x:f>
        <x:v>93.98</x:v>
      </x:c>
    </x:row>
    <x:row r="33" ht="23" customHeight="1">
      <x:c r="A33" s="2" t="str">
        <x:v>V/Fatura 193093</x:v>
      </x:c>
      <x:c r="B33" s="7" t="n">
        <x:v>46142</x:v>
      </x:c>
      <x:c r="C33" s="2" t="str">
        <x:v>IKEA PORTUGAL MOVEIS E DECORAÇÃO LDA</x:v>
      </x:c>
      <x:c r="D33" s="9" t="n">
        <x:v>267.45</x:v>
      </x:c>
      <x:c r="E33" s="9" t="n">
        <x:v>61.51</x:v>
      </x:c>
      <x:c r="F33" s="9" t="n">
        <x:v>328.96</x:v>
      </x:c>
      <x:c r="G33" s="9" t="n">
        <x:v>205.93</x:v>
      </x:c>
      <x:c r="H33" s="9" t="n">
        <x:v>123.03</x:v>
      </x:c>
      <x:c r="I33" s="9" t="n">
        <x:v>328.96</x:v>
      </x:c>
      <x:c r="J33" s="9" t="n">
        <x:f>IF(H33="","",ROUND(H33-E33,2))</x:f>
        <x:v>61.52</x:v>
      </x:c>
    </x:row>
    <x:row r="34" ht="23" customHeight="1">
      <x:c r="A34" s="2" t="str">
        <x:v>V/Fatura FAC 262/87</x:v>
      </x:c>
      <x:c r="B34" s="7" t="n">
        <x:v>46142</x:v>
      </x:c>
      <x:c r="C34" s="2" t="str">
        <x:v>REGRAS E VISÃO LDA</x:v>
      </x:c>
      <x:c r="D34" s="9" t="n">
        <x:v>943.24</x:v>
      </x:c>
      <x:c r="E34" s="9" t="n">
        <x:v>216.95</x:v>
      </x:c>
      <x:c r="F34" s="9" t="n">
        <x:v>1160.19</x:v>
      </x:c>
      <x:c r="G34" s="9" t="n">
        <x:v>726.3</x:v>
      </x:c>
      <x:c r="H34" s="9" t="n">
        <x:v>433.89</x:v>
      </x:c>
      <x:c r="I34" s="9" t="n">
        <x:v>1160.19</x:v>
      </x:c>
      <x:c r="J34" s="9" t="n">
        <x:f>IF(H34="","",ROUND(H34-E34,2))</x:f>
        <x:v>216.94</x:v>
      </x:c>
    </x:row>
    <x:row r="35" ht="23" customHeight="1">
      <x:c r="A35" s="2" t="str">
        <x:v>V/Fatura 0956324</x:v>
      </x:c>
      <x:c r="B35" s="7" t="n">
        <x:v>46143</x:v>
      </x:c>
      <x:c r="C35" s="2" t="str">
        <x:v>SECURITAS DIRECT PORTUGAL UNIPESSOAL LDA</x:v>
      </x:c>
      <x:c r="D35" s="9" t="n">
        <x:v>38</x:v>
      </x:c>
      <x:c r="E35" s="9" t="n">
        <x:v>8.74</x:v>
      </x:c>
      <x:c r="F35" s="9" t="n">
        <x:v>46.74</x:v>
      </x:c>
      <x:c r="G35" s="9" t="n">
        <x:v>38</x:v>
      </x:c>
      <x:c r="H35" s="9" t="n">
        <x:v>8.74</x:v>
      </x:c>
      <x:c r="I35" s="9" t="n">
        <x:v>46.74</x:v>
      </x:c>
      <x:c r="J35" s="9" t="n">
        <x:f>IF(H35="","",ROUND(H35-E35,2))</x:f>
        <x:v>0</x:v>
      </x:c>
    </x:row>
    <x:row r="36" ht="23" customHeight="1">
      <x:c r="A36" s="2" t="str">
        <x:v>V/Fatura FT 101/113268097</x:v>
      </x:c>
      <x:c r="B36" s="7" t="n">
        <x:v>46145</x:v>
      </x:c>
      <x:c r="C36" s="2" t="str">
        <x:v>VODAFONE PORTUGAL - COMUNICAÇÕES PESSOAIS S A</x:v>
      </x:c>
      <x:c r="D36" s="9" t="n">
        <x:v>28.17</x:v>
      </x:c>
      <x:c r="E36" s="9" t="n">
        <x:v>6.48</x:v>
      </x:c>
      <x:c r="F36" s="9" t="n">
        <x:v>34.65</x:v>
      </x:c>
      <x:c r="G36" s="9" t="n">
        <x:v>21.69</x:v>
      </x:c>
      <x:c r="H36" s="9" t="n">
        <x:v>12.96</x:v>
      </x:c>
      <x:c r="I36" s="9" t="n">
        <x:v>34.65</x:v>
      </x:c>
      <x:c r="J36" s="9" t="n">
        <x:f>IF(H36="","",ROUND(H36-E36,2))</x:f>
        <x:v>6.48</x:v>
      </x:c>
    </x:row>
    <x:row r="37" ht="23" customHeight="1">
      <x:c r="A37" s="2" t="str">
        <x:v>V/Fatura FT 101/113269416</x:v>
      </x:c>
      <x:c r="B37" s="7" t="n">
        <x:v>46145</x:v>
      </x:c>
      <x:c r="C37" s="2" t="str">
        <x:v>VODAFONE PORTUGAL - COMUNICAÇÕES PESSOAIS S A</x:v>
      </x:c>
      <x:c r="D37" s="9" t="n">
        <x:v>10.37</x:v>
      </x:c>
      <x:c r="E37" s="9" t="n">
        <x:v>2.39</x:v>
      </x:c>
      <x:c r="F37" s="9" t="n">
        <x:v>12.76</x:v>
      </x:c>
      <x:c r="G37" s="9" t="n">
        <x:v>7.99</x:v>
      </x:c>
      <x:c r="H37" s="9" t="n">
        <x:v>4.77</x:v>
      </x:c>
      <x:c r="I37" s="9" t="n">
        <x:v>12.76</x:v>
      </x:c>
      <x:c r="J37" s="9" t="n">
        <x:f>IF(H37="","",ROUND(H37-E37,2))</x:f>
        <x:v>2.38</x:v>
      </x:c>
    </x:row>
    <x:row r="38" ht="23" customHeight="1">
      <x:c r="A38" s="2" t="str">
        <x:v>V/Fatura 1 2026/4</x:v>
      </x:c>
      <x:c r="B38" s="7" t="n">
        <x:v>46147</x:v>
      </x:c>
      <x:c r="C38" s="2" t="str">
        <x:v>BICA13, Lda</x:v>
      </x:c>
      <x:c r="D38" s="9" t="n">
        <x:v>2500</x:v>
      </x:c>
      <x:c r="E38" s="9" t="n">
        <x:v>575</x:v>
      </x:c>
      <x:c r="F38" s="9" t="n">
        <x:v>3075</x:v>
      </x:c>
      <x:c r="G38" s="9" t="n">
        <x:v>2500</x:v>
      </x:c>
      <x:c r="H38" s="9" t="n">
        <x:v>575</x:v>
      </x:c>
      <x:c r="I38" s="9" t="n">
        <x:v>3075</x:v>
      </x:c>
      <x:c r="J38" s="9" t="n">
        <x:f>IF(H38="","",ROUND(H38-E38,2))</x:f>
        <x:v>0</x:v>
      </x:c>
    </x:row>
    <x:row r="39" ht="23" customHeight="1">
      <x:c r="A39" s="2" t="str">
        <x:v>V/Fatura 1 2026/5</x:v>
      </x:c>
      <x:c r="B39" s="7" t="n">
        <x:v>46147</x:v>
      </x:c>
      <x:c r="C39" s="2" t="str">
        <x:v>BICA13, Lda</x:v>
      </x:c>
      <x:c r="D39" s="9" t="n">
        <x:v>4700</x:v>
      </x:c>
      <x:c r="E39" s="9" t="n">
        <x:v>1081</x:v>
      </x:c>
      <x:c r="F39" s="9" t="n">
        <x:v>5781</x:v>
      </x:c>
      <x:c r="G39" s="9" t="n">
        <x:v>4700</x:v>
      </x:c>
      <x:c r="H39" s="9" t="n">
        <x:v>1081</x:v>
      </x:c>
      <x:c r="I39" s="9" t="n">
        <x:v>5781</x:v>
      </x:c>
      <x:c r="J39" s="9" t="n">
        <x:f>IF(H39="","",ROUND(H39-E39,2))</x:f>
        <x:v>0</x:v>
      </x:c>
    </x:row>
    <x:row r="40" ht="23" customHeight="1">
      <x:c r="A40" s="2" t="str">
        <x:v>V/Fatura Recibo 098238</x:v>
      </x:c>
      <x:c r="B40" s="7" t="n">
        <x:v>46149</x:v>
      </x:c>
      <x:c r="C40" s="2" t="str">
        <x:v>RADIO POPULAR ELECTRODOMESTICOS SA</x:v>
      </x:c>
      <x:c r="D40" s="9" t="n">
        <x:v>107.27</x:v>
      </x:c>
      <x:c r="E40" s="9" t="n">
        <x:v>24.67</x:v>
      </x:c>
      <x:c r="F40" s="9" t="n">
        <x:v>131.94</x:v>
      </x:c>
      <x:c r="G40" s="9" t="n">
        <x:v>82.6</x:v>
      </x:c>
      <x:c r="H40" s="9" t="n">
        <x:v>49.34</x:v>
      </x:c>
      <x:c r="I40" s="9" t="n">
        <x:v>131.94</x:v>
      </x:c>
      <x:c r="J40" s="9" t="n">
        <x:f>IF(H40="","",ROUND(H40-E40,2))</x:f>
        <x:v>24.67</x:v>
      </x:c>
    </x:row>
    <x:row r="41" ht="23" customHeight="1">
      <x:c r="A41" s="2" t="str">
        <x:v>V/Fatura Recibo 25812</x:v>
      </x:c>
      <x:c r="B41" s="7" t="n">
        <x:v>46150</x:v>
      </x:c>
      <x:c r="C41" s="2" t="str">
        <x:v>BIN LIU</x:v>
      </x:c>
      <x:c r="D41" s="9" t="n">
        <x:v>11.67</x:v>
      </x:c>
      <x:c r="E41" s="9" t="n">
        <x:v>2.68</x:v>
      </x:c>
      <x:c r="F41" s="9" t="n">
        <x:v>14.35</x:v>
      </x:c>
      <x:c r="G41" s="9" t="n">
        <x:v>8.98</x:v>
      </x:c>
      <x:c r="H41" s="9" t="n">
        <x:v>5.37</x:v>
      </x:c>
      <x:c r="I41" s="9" t="n">
        <x:v>14.35</x:v>
      </x:c>
      <x:c r="J41" s="9" t="n">
        <x:f>IF(H41="","",ROUND(H41-E41,2))</x:f>
        <x:v>2.69</x:v>
      </x:c>
    </x:row>
    <x:row r="42" ht="23" customHeight="1">
      <x:c r="A42" s="2" t="str">
        <x:v>V/Fatura Recibo 260</x:v>
      </x:c>
      <x:c r="B42" s="7" t="n">
        <x:v>46150</x:v>
      </x:c>
      <x:c r="C42" s="2" t="str">
        <x:v>FERNANDO AUGUSTO PORTELA SIMÕES</x:v>
      </x:c>
      <x:c r="D42" s="9" t="n">
        <x:v>8.74</x:v>
      </x:c>
      <x:c r="E42" s="9" t="n">
        <x:v>2.01</x:v>
      </x:c>
      <x:c r="F42" s="9" t="n">
        <x:v>10.75</x:v>
      </x:c>
      <x:c r="G42" s="9" t="n">
        <x:v>6.73</x:v>
      </x:c>
      <x:c r="H42" s="9" t="n">
        <x:v>4.02</x:v>
      </x:c>
      <x:c r="I42" s="9" t="n">
        <x:v>10.75</x:v>
      </x:c>
      <x:c r="J42" s="9" t="n">
        <x:f>IF(H42="","",ROUND(H42-E42,2))</x:f>
        <x:v>2.01</x:v>
      </x:c>
    </x:row>
    <x:row r="43" ht="23" customHeight="1">
      <x:c r="A43" s="2" t="str">
        <x:v>V/Fatura Recibo 010753</x:v>
      </x:c>
      <x:c r="B43" s="7" t="n">
        <x:v>46151</x:v>
      </x:c>
      <x:c r="C43" s="2" t="str">
        <x:v>DSTORE RETAIL, S.A.</x:v>
      </x:c>
      <x:c r="D43" s="9" t="n">
        <x:v>180.49</x:v>
      </x:c>
      <x:c r="E43" s="9" t="n">
        <x:v>41.51</x:v>
      </x:c>
      <x:c r="F43" s="9" t="n">
        <x:v>222</x:v>
      </x:c>
      <x:c r="G43" s="9" t="n">
        <x:v>138.97</x:v>
      </x:c>
      <x:c r="H43" s="9" t="n">
        <x:v>83.03</x:v>
      </x:c>
      <x:c r="I43" s="9" t="n">
        <x:v>222</x:v>
      </x:c>
      <x:c r="J43" s="9" t="n">
        <x:f>IF(H43="","",ROUND(H43-E43,2))</x:f>
        <x:v>41.52</x:v>
      </x:c>
    </x:row>
    <x:row r="44" ht="23" customHeight="1">
      <x:c r="A44" s="2" t="str">
        <x:v>V/Fatura Recibo 019700</x:v>
      </x:c>
      <x:c r="B44" s="7" t="n">
        <x:v>46152</x:v>
      </x:c>
      <x:c r="C44" s="2" t="str">
        <x:v>DSTORE RETAIL, S.A.</x:v>
      </x:c>
      <x:c r="D44" s="9" t="n">
        <x:v>63.41</x:v>
      </x:c>
      <x:c r="E44" s="9" t="n">
        <x:v>14.59</x:v>
      </x:c>
      <x:c r="F44" s="9" t="n">
        <x:v>78</x:v>
      </x:c>
      <x:c r="G44" s="9" t="n">
        <x:v>48.83</x:v>
      </x:c>
      <x:c r="H44" s="9" t="n">
        <x:v>29.17</x:v>
      </x:c>
      <x:c r="I44" s="9" t="n">
        <x:v>78</x:v>
      </x:c>
      <x:c r="J44" s="9" t="n">
        <x:f>IF(H44="","",ROUND(H44-E44,2))</x:f>
        <x:v>14.58</x:v>
      </x:c>
    </x:row>
    <x:row r="45" ht="23" customHeight="1">
      <x:c r="A45" s="2" t="str">
        <x:v>V/Fatura Recibo FR B/7173</x:v>
      </x:c>
      <x:c r="B45" s="7" t="n">
        <x:v>46154</x:v>
      </x:c>
      <x:c r="C45" s="2" t="str">
        <x:v>EXTINPORTO - SEGURANÇA CONTRA INCÊNDIOS UNIPESSOAL, LDA</x:v>
      </x:c>
      <x:c r="D45" s="9" t="n">
        <x:v>21</x:v>
      </x:c>
      <x:c r="E45" s="9" t="n">
        <x:v>4.83</x:v>
      </x:c>
      <x:c r="F45" s="9" t="n">
        <x:v>25.83</x:v>
      </x:c>
      <x:c r="G45" s="9" t="n">
        <x:v>21</x:v>
      </x:c>
      <x:c r="H45" s="9" t="n">
        <x:v>4.83</x:v>
      </x:c>
      <x:c r="I45" s="9" t="n">
        <x:v>25.83</x:v>
      </x:c>
      <x:c r="J45" s="9" t="n">
        <x:f>IF(H45="","",ROUND(H45-E45,2))</x:f>
        <x:v>0</x:v>
      </x:c>
    </x:row>
    <x:row r="46" ht="23" customHeight="1">
      <x:c r="A46" s="2" t="str">
        <x:v>V/Fatura Recibo 000053</x:v>
      </x:c>
      <x:c r="B46" s="7" t="n">
        <x:v>46154</x:v>
      </x:c>
      <x:c r="C46" s="2" t="str">
        <x:v>IRMÃDONA SUPERMERCADOS, UNIPESSOAL, LDA.</x:v>
      </x:c>
      <x:c r="D46" s="9" t="n">
        <x:v>44.72</x:v>
      </x:c>
      <x:c r="E46" s="9" t="n">
        <x:v>10.28</x:v>
      </x:c>
      <x:c r="F46" s="9" t="n">
        <x:v>55</x:v>
      </x:c>
      <x:c r="G46" s="9" t="n">
        <x:v>34.43</x:v>
      </x:c>
      <x:c r="H46" s="9" t="n">
        <x:v>20.57</x:v>
      </x:c>
      <x:c r="I46" s="9" t="n">
        <x:v>55</x:v>
      </x:c>
      <x:c r="J46" s="9" t="n">
        <x:f>IF(H46="","",ROUND(H46-E46,2))</x:f>
        <x:v>10.29</x:v>
      </x:c>
    </x:row>
    <x:row r="47" ht="23" customHeight="1">
      <x:c r="A47" s="2" t="str">
        <x:v>V/Fatura Recibo FT 101/00029677</x:v>
      </x:c>
      <x:c r="B47" s="7" t="n">
        <x:v>46154</x:v>
      </x:c>
      <x:c r="C47" s="2" t="str">
        <x:v>LUA MUSCULADA LDA</x:v>
      </x:c>
      <x:c r="D47" s="9" t="n">
        <x:v>7.72</x:v>
      </x:c>
      <x:c r="E47" s="9" t="n">
        <x:v>1.78</x:v>
      </x:c>
      <x:c r="F47" s="9" t="n">
        <x:v>9.5</x:v>
      </x:c>
      <x:c r="G47" s="9" t="n">
        <x:v>5.95</x:v>
      </x:c>
      <x:c r="H47" s="9" t="n">
        <x:v>3.55</x:v>
      </x:c>
      <x:c r="I47" s="9" t="n">
        <x:v>9.5</x:v>
      </x:c>
      <x:c r="J47" s="9" t="n">
        <x:f>IF(H47="","",ROUND(H47-E47,2))</x:f>
        <x:v>1.77</x:v>
      </x:c>
    </x:row>
    <x:row r="48" ht="23" customHeight="1">
      <x:c r="A48" s="2" t="str">
        <x:v>V/Fatura Recibo 00105386</x:v>
      </x:c>
      <x:c r="B48" s="7" t="n">
        <x:v>46155</x:v>
      </x:c>
      <x:c r="C48" s="2" t="str">
        <x:v>SOL IMPAGAVEL UNIPESSOAL LDA</x:v>
      </x:c>
      <x:c r="D48" s="9" t="n">
        <x:v>5.28</x:v>
      </x:c>
      <x:c r="E48" s="9" t="n">
        <x:v>1.22</x:v>
      </x:c>
      <x:c r="F48" s="9" t="n">
        <x:v>6.5</x:v>
      </x:c>
      <x:c r="G48" s="9" t="n">
        <x:v>4.07</x:v>
      </x:c>
      <x:c r="H48" s="9" t="n">
        <x:v>2.43</x:v>
      </x:c>
      <x:c r="I48" s="9" t="n">
        <x:v>6.5</x:v>
      </x:c>
      <x:c r="J48" s="9" t="n">
        <x:f>IF(H48="","",ROUND(H48-E48,2))</x:f>
        <x:v>1.21</x:v>
      </x:c>
    </x:row>
    <x:row r="49" ht="23" customHeight="1">
      <x:c r="A49" s="2" t="str">
        <x:v>V/Fatura 8</x:v>
      </x:c>
      <x:c r="B49" s="7" t="n">
        <x:v>46157</x:v>
      </x:c>
      <x:c r="C49" s="2" t="str">
        <x:v>HUGO FILIPE SIMÃO ALVES</x:v>
      </x:c>
      <x:c r="D49" s="9" t="n">
        <x:v>5686.22</x:v>
      </x:c>
      <x:c r="E49" s="9" t="n">
        <x:v>1307.83</x:v>
      </x:c>
      <x:c r="F49" s="9" t="n">
        <x:v>6994.05</x:v>
      </x:c>
      <x:c r="G49" s="9" t="n">
        <x:v>4378.39</x:v>
      </x:c>
      <x:c r="H49" s="9" t="n">
        <x:v>2615.66</x:v>
      </x:c>
      <x:c r="I49" s="9" t="n">
        <x:v>6994.05</x:v>
      </x:c>
      <x:c r="J49" s="9" t="n">
        <x:f>IF(H49="","",ROUND(H49-E49,2))</x:f>
        <x:v>1307.83</x:v>
      </x:c>
    </x:row>
    <x:row r="50" ht="23" customHeight="1">
      <x:c r="A50" s="2" t="str">
        <x:v>V/Fatura 387</x:v>
      </x:c>
      <x:c r="B50" s="7" t="n">
        <x:v>46157</x:v>
      </x:c>
      <x:c r="C50" s="2" t="str">
        <x:v>PEDRO NUNO SIMÃO ALVES</x:v>
      </x:c>
      <x:c r="D50" s="9" t="n">
        <x:v>14107.16</x:v>
      </x:c>
      <x:c r="E50" s="9" t="n">
        <x:v>3244.65</x:v>
      </x:c>
      <x:c r="F50" s="9" t="n">
        <x:v>17351.81</x:v>
      </x:c>
      <x:c r="G50" s="9" t="n">
        <x:v>10862.52</x:v>
      </x:c>
      <x:c r="H50" s="9" t="n">
        <x:v>6489.29</x:v>
      </x:c>
      <x:c r="I50" s="9" t="n">
        <x:v>17351.81</x:v>
      </x:c>
      <x:c r="J50" s="9" t="n">
        <x:f>IF(H50="","",ROUND(H50-E50,2))</x:f>
        <x:v>3244.64</x:v>
      </x:c>
    </x:row>
    <x:row r="51" ht="23" customHeight="1">
      <x:c r="A51" s="2" t="str">
        <x:v>V/Fatura 388</x:v>
      </x:c>
      <x:c r="B51" s="7" t="n">
        <x:v>46157</x:v>
      </x:c>
      <x:c r="C51" s="2" t="str">
        <x:v>PEDRO NUNO SIMÃO ALVES</x:v>
      </x:c>
      <x:c r="D51" s="9" t="n">
        <x:v>400</x:v>
      </x:c>
      <x:c r="E51" s="9" t="n">
        <x:v>92</x:v>
      </x:c>
      <x:c r="F51" s="9" t="n">
        <x:v>492</x:v>
      </x:c>
      <x:c r="G51" s="9" t="n">
        <x:v>400</x:v>
      </x:c>
      <x:c r="H51" s="9" t="n">
        <x:v>92</x:v>
      </x:c>
      <x:c r="I51" s="9" t="n">
        <x:v>492</x:v>
      </x:c>
      <x:c r="J51" s="9" t="n">
        <x:f>IF(H51="","",ROUND(H51-E51,2))</x:f>
        <x:v>0</x:v>
      </x:c>
    </x:row>
    <x:row r="52" ht="23" customHeight="1">
      <x:c r="A52" s="2" t="str">
        <x:v>V/Fatura Recibo ZGFF BAHK/2150742623</x:v>
      </x:c>
      <x:c r="B52" s="7" t="n">
        <x:v>46157</x:v>
      </x:c>
      <x:c r="C52" s="2" t="str">
        <x:v>PETROGAL, S.A.</x:v>
      </x:c>
      <x:c r="D52" s="9" t="n">
        <x:v>204.86</x:v>
      </x:c>
      <x:c r="E52" s="9" t="n">
        <x:v>47.12</x:v>
      </x:c>
      <x:c r="F52" s="9" t="n">
        <x:v>251.98</x:v>
      </x:c>
      <x:c r="G52" s="9" t="n">
        <x:v>181.31</x:v>
      </x:c>
      <x:c r="H52" s="9" t="n">
        <x:v>70.67</x:v>
      </x:c>
      <x:c r="I52" s="9" t="n">
        <x:v>251.98</x:v>
      </x:c>
      <x:c r="J52" s="9" t="n">
        <x:f>IF(H52="","",ROUND(H52-E52,2))</x:f>
        <x:v>23.55</x:v>
      </x:c>
    </x:row>
    <x:row r="53" ht="23" customHeight="1">
      <x:c r="A53" s="2" t="str">
        <x:v>V/Fatura FAC 262/109</x:v>
      </x:c>
      <x:c r="B53" s="7" t="n">
        <x:v>46157</x:v>
      </x:c>
      <x:c r="C53" s="2" t="str">
        <x:v>REGRAS E VISÃO LDA</x:v>
      </x:c>
      <x:c r="D53" s="9" t="n">
        <x:v>677.77</x:v>
      </x:c>
      <x:c r="E53" s="9" t="n">
        <x:v>155.89</x:v>
      </x:c>
      <x:c r="F53" s="9" t="n">
        <x:v>833.66</x:v>
      </x:c>
      <x:c r="G53" s="9" t="n">
        <x:v>521.89</x:v>
      </x:c>
      <x:c r="H53" s="9" t="n">
        <x:v>311.77</x:v>
      </x:c>
      <x:c r="I53" s="9" t="n">
        <x:v>833.66</x:v>
      </x:c>
      <x:c r="J53" s="9" t="n">
        <x:f>IF(H53="","",ROUND(H53-E53,2))</x:f>
        <x:v>155.88</x:v>
      </x:c>
    </x:row>
    <x:row r="54" ht="23" customHeight="1">
      <x:c r="A54" s="2" t="str">
        <x:v>V/Fatura Recibo FT FA.2026K/50</x:v>
      </x:c>
      <x:c r="B54" s="7" t="n">
        <x:v>46159</x:v>
      </x:c>
      <x:c r="C54" s="2" t="str">
        <x:v>EASYWASH UNIPESSOAL, LDA</x:v>
      </x:c>
      <x:c r="D54" s="9" t="n">
        <x:v>763.51</x:v>
      </x:c>
      <x:c r="E54" s="9" t="n">
        <x:v>175.61</x:v>
      </x:c>
      <x:c r="F54" s="9" t="n">
        <x:v>939.12</x:v>
      </x:c>
      <x:c r="G54" s="9" t="n">
        <x:v>587.9</x:v>
      </x:c>
      <x:c r="H54" s="9" t="n">
        <x:v>351.22</x:v>
      </x:c>
      <x:c r="I54" s="9" t="n">
        <x:v>939.12</x:v>
      </x:c>
      <x:c r="J54" s="9" t="n">
        <x:f>IF(H54="","",ROUND(H54-E54,2))</x:f>
        <x:v>175.61</x:v>
      </x:c>
    </x:row>
    <x:row r="55" ht="23" customHeight="1">
      <x:c r="A55" s="2" t="str">
        <x:v>V/Fatura Recibo FT FA.2026L/7</x:v>
      </x:c>
      <x:c r="B55" s="7" t="n">
        <x:v>46159</x:v>
      </x:c>
      <x:c r="C55" s="2" t="str">
        <x:v>EASYWASH UNIPESSOAL, LDA</x:v>
      </x:c>
      <x:c r="D55" s="9" t="n">
        <x:v>27</x:v>
      </x:c>
      <x:c r="E55" s="9" t="n">
        <x:v>6.21</x:v>
      </x:c>
      <x:c r="F55" s="9" t="n">
        <x:v>33.21</x:v>
      </x:c>
      <x:c r="G55" s="9" t="n">
        <x:v>27</x:v>
      </x:c>
      <x:c r="H55" s="9" t="n">
        <x:v>6.21</x:v>
      </x:c>
      <x:c r="I55" s="9" t="n">
        <x:v>33.21</x:v>
      </x:c>
      <x:c r="J55" s="9" t="n">
        <x:f>IF(H55="","",ROUND(H55-E55,2))</x:f>
        <x:v>0</x:v>
      </x:c>
    </x:row>
    <x:row r="56" ht="23" customHeight="1">
      <x:c r="A56" s="2" t="str">
        <x:v>V/Fatura Recibo FT 101/114226177</x:v>
      </x:c>
      <x:c r="B56" s="7" t="n">
        <x:v>46160</x:v>
      </x:c>
      <x:c r="C56" s="2" t="str">
        <x:v>VODAFONE PORTUGAL - COMUNICAÇÕES PESSOAIS S A</x:v>
      </x:c>
      <x:c r="D56" s="9" t="n">
        <x:v>34.55</x:v>
      </x:c>
      <x:c r="E56" s="9" t="n">
        <x:v>7.95</x:v>
      </x:c>
      <x:c r="F56" s="9" t="n">
        <x:v>42.5</x:v>
      </x:c>
      <x:c r="G56" s="9" t="n">
        <x:v>26.61</x:v>
      </x:c>
      <x:c r="H56" s="9" t="n">
        <x:v>15.89</x:v>
      </x:c>
      <x:c r="I56" s="9" t="n">
        <x:v>42.5</x:v>
      </x:c>
      <x:c r="J56" s="9" t="n">
        <x:f>IF(H56="","",ROUND(H56-E56,2))</x:f>
        <x:v>7.94</x:v>
      </x:c>
    </x:row>
    <x:row r="57" ht="23" customHeight="1">
      <x:c r="A57" s="2" t="str">
        <x:v>V/Fatura 1488425</x:v>
      </x:c>
      <x:c r="B57" s="7" t="n">
        <x:v>46161</x:v>
      </x:c>
      <x:c r="C57" s="2" t="str">
        <x:v>NOS COMUNICAÇÕES S A</x:v>
      </x:c>
      <x:c r="D57" s="9" t="n">
        <x:v>107.89</x:v>
      </x:c>
      <x:c r="E57" s="9" t="n">
        <x:v>24.81</x:v>
      </x:c>
      <x:c r="F57" s="9" t="n">
        <x:v>132.7</x:v>
      </x:c>
      <x:c r="G57" s="9" t="n">
        <x:v>83.07</x:v>
      </x:c>
      <x:c r="H57" s="9" t="n">
        <x:v>49.63</x:v>
      </x:c>
      <x:c r="I57" s="9" t="n">
        <x:v>132.7</x:v>
      </x:c>
      <x:c r="J57" s="9" t="n">
        <x:f>IF(H57="","",ROUND(H57-E57,2))</x:f>
        <x:v>24.82</x:v>
      </x:c>
    </x:row>
    <x:row r="58" ht="23" customHeight="1">
      <x:c r="A58" s="2" t="str">
        <x:v>V/Fatura 261019557</x:v>
      </x:c>
      <x:c r="B58" s="7" t="n">
        <x:v>46162</x:v>
      </x:c>
      <x:c r="C58" s="2" t="str">
        <x:v>ONBIT - MATERIAL INFORMÁTICO, LDA</x:v>
      </x:c>
      <x:c r="D58" s="9" t="n">
        <x:v>40.39</x:v>
      </x:c>
      <x:c r="E58" s="9" t="n">
        <x:v>9.29</x:v>
      </x:c>
      <x:c r="F58" s="9" t="n">
        <x:v>49.68</x:v>
      </x:c>
      <x:c r="G58" s="9" t="n">
        <x:v>31.1</x:v>
      </x:c>
      <x:c r="H58" s="9" t="n">
        <x:v>18.58</x:v>
      </x:c>
      <x:c r="I58" s="9" t="n">
        <x:v>49.68</x:v>
      </x:c>
      <x:c r="J58" s="9" t="n">
        <x:f>IF(H58="","",ROUND(H58-E58,2))</x:f>
        <x:v>9.29</x:v>
      </x:c>
    </x:row>
    <x:row r="59" ht="23" customHeight="1">
      <x:c r="A59" s="2" t="str">
        <x:v>V/Fatura 1397</x:v>
      </x:c>
      <x:c r="B59" s="7" t="n">
        <x:v>46162</x:v>
      </x:c>
      <x:c r="C59" s="2" t="str">
        <x:v>SO COLCHÃO LDA</x:v>
      </x:c>
      <x:c r="D59" s="9" t="n">
        <x:v>752.59</x:v>
      </x:c>
      <x:c r="E59" s="9" t="n">
        <x:v>173.1</x:v>
      </x:c>
      <x:c r="F59" s="9" t="n">
        <x:v>925.69</x:v>
      </x:c>
      <x:c r="G59" s="9" t="n">
        <x:v>579.5</x:v>
      </x:c>
      <x:c r="H59" s="9" t="n">
        <x:v>346.19</x:v>
      </x:c>
      <x:c r="I59" s="9" t="n">
        <x:v>925.69</x:v>
      </x:c>
      <x:c r="J59" s="9" t="n">
        <x:f>IF(H59="","",ROUND(H59-E59,2))</x:f>
        <x:v>173.09</x:v>
      </x:c>
    </x:row>
    <x:row r="60" ht="23" customHeight="1">
      <x:c r="A60" s="2" t="str">
        <x:v>V/Fatura Recibo FT A/867230854</x:v>
      </x:c>
      <x:c r="B60" s="7" t="n">
        <x:v>46165</x:v>
      </x:c>
      <x:c r="C60" s="2" t="str">
        <x:v>MEO - SERVIÇOS DE COMUNICAÇÕES E MULTIMÉDIA S.A.</x:v>
      </x:c>
      <x:c r="D60" s="9" t="n">
        <x:v>375.47</x:v>
      </x:c>
      <x:c r="E60" s="9" t="n">
        <x:v>86.36</x:v>
      </x:c>
      <x:c r="F60" s="9" t="n">
        <x:v>461.83</x:v>
      </x:c>
      <x:c r="G60" s="9" t="n">
        <x:v>289.11</x:v>
      </x:c>
      <x:c r="H60" s="9" t="n">
        <x:v>172.72</x:v>
      </x:c>
      <x:c r="I60" s="9" t="n">
        <x:v>461.83</x:v>
      </x:c>
      <x:c r="J60" s="9" t="n">
        <x:f>IF(H60="","",ROUND(H60-E60,2))</x:f>
        <x:v>86.36</x:v>
      </x:c>
    </x:row>
    <x:row r="61" ht="23" customHeight="1">
      <x:c r="A61" s="2" t="str">
        <x:v>V/Fatura Recibo FT 101/114613388</x:v>
      </x:c>
      <x:c r="B61" s="7" t="n">
        <x:v>46167</x:v>
      </x:c>
      <x:c r="C61" s="2" t="str">
        <x:v>VODAFONE PORTUGAL - COMUNICAÇÕES PESSOAIS S A</x:v>
      </x:c>
      <x:c r="D61" s="9" t="n">
        <x:v>196.09</x:v>
      </x:c>
      <x:c r="E61" s="9" t="n">
        <x:v>45.1</x:v>
      </x:c>
      <x:c r="F61" s="9" t="n">
        <x:v>241.19</x:v>
      </x:c>
      <x:c r="G61" s="9" t="n">
        <x:v>150.99</x:v>
      </x:c>
      <x:c r="H61" s="9" t="n">
        <x:v>90.2</x:v>
      </x:c>
      <x:c r="I61" s="9" t="n">
        <x:v>241.19</x:v>
      </x:c>
      <x:c r="J61" s="9" t="n">
        <x:f>IF(H61="","",ROUND(H61-E61,2))</x:f>
        <x:v>45.1</x:v>
      </x:c>
    </x:row>
    <x:row r="62" ht="23" customHeight="1">
      <x:c r="A62" s="2" t="str">
        <x:v>V/Fatura Recibo FT VT/1925</x:v>
      </x:c>
      <x:c r="B62" s="7" t="n">
        <x:v>46168</x:v>
      </x:c>
      <x:c r="C62" s="2" t="str">
        <x:v>DESIPEST, UNIPESSOAL, LDA</x:v>
      </x:c>
      <x:c r="D62" s="9" t="n">
        <x:v>240</x:v>
      </x:c>
      <x:c r="E62" s="9" t="n">
        <x:v>55.2</x:v>
      </x:c>
      <x:c r="F62" s="9" t="n">
        <x:v>295.2</x:v>
      </x:c>
      <x:c r="G62" s="9" t="n">
        <x:v>240</x:v>
      </x:c>
      <x:c r="H62" s="9" t="n">
        <x:v>55.2</x:v>
      </x:c>
      <x:c r="I62" s="9" t="n">
        <x:v>295.2</x:v>
      </x:c>
      <x:c r="J62" s="9" t="n">
        <x:f>IF(H62="","",ROUND(H62-E62,2))</x:f>
        <x:v>0</x:v>
      </x:c>
    </x:row>
    <x:row r="63" ht="23" customHeight="1">
      <x:c r="A63" s="2" t="str">
        <x:v>V/Fatura Recibo ZFAT BZA1/9181617497</x:v>
      </x:c>
      <x:c r="B63" s="7" t="n">
        <x:v>46168</x:v>
      </x:c>
      <x:c r="C63" s="2" t="str">
        <x:v>PC DIGA LDA</x:v>
      </x:c>
      <x:c r="D63" s="9" t="n">
        <x:v>812.2</x:v>
      </x:c>
      <x:c r="E63" s="9" t="n">
        <x:v>186.8</x:v>
      </x:c>
      <x:c r="F63" s="9" t="n">
        <x:v>999</x:v>
      </x:c>
      <x:c r="G63" s="9" t="n">
        <x:v>625.39</x:v>
      </x:c>
      <x:c r="H63" s="9" t="n">
        <x:v>373.61</x:v>
      </x:c>
      <x:c r="I63" s="9" t="n">
        <x:v>999</x:v>
      </x:c>
      <x:c r="J63" s="9" t="n">
        <x:f>IF(H63="","",ROUND(H63-E63,2))</x:f>
        <x:v>186.81</x:v>
      </x:c>
    </x:row>
    <x:row r="64" ht="23" customHeight="1">
      <x:c r="A64" s="2" t="str">
        <x:v>V/Fatura Recibo 004632</x:v>
      </x:c>
      <x:c r="B64" s="7" t="n">
        <x:v>46170</x:v>
      </x:c>
      <x:c r="C64" s="2" t="str">
        <x:v>BCM BRICOLAGE S A</x:v>
      </x:c>
      <x:c r="D64" s="9" t="n">
        <x:v>182.84</x:v>
      </x:c>
      <x:c r="E64" s="9" t="n">
        <x:v>42.05</x:v>
      </x:c>
      <x:c r="F64" s="9" t="n">
        <x:v>224.89</x:v>
      </x:c>
      <x:c r="G64" s="9" t="n">
        <x:v>140.78</x:v>
      </x:c>
      <x:c r="H64" s="9" t="n">
        <x:v>84.11</x:v>
      </x:c>
      <x:c r="I64" s="9" t="n">
        <x:v>224.89</x:v>
      </x:c>
      <x:c r="J64" s="9" t="n">
        <x:f>IF(H64="","",ROUND(H64-E64,2))</x:f>
        <x:v>42.06</x:v>
      </x:c>
    </x:row>
    <x:row r="65" ht="23" customHeight="1">
      <x:c r="A65" s="2" t="str">
        <x:v>V/Fatura Recibo 023668</x:v>
      </x:c>
      <x:c r="B65" s="7" t="n">
        <x:v>46170</x:v>
      </x:c>
      <x:c r="C65" s="2" t="str">
        <x:v>IRMÃDONA SUPERMERCADOS, UNIPESSOAL, LDA.</x:v>
      </x:c>
      <x:c r="D65" s="9" t="n">
        <x:v>12.28</x:v>
      </x:c>
      <x:c r="E65" s="9" t="n">
        <x:v>2.82</x:v>
      </x:c>
      <x:c r="F65" s="9" t="n">
        <x:v>15.1</x:v>
      </x:c>
      <x:c r="G65" s="9" t="n">
        <x:v>9.45</x:v>
      </x:c>
      <x:c r="H65" s="9" t="n">
        <x:v>5.65</x:v>
      </x:c>
      <x:c r="I65" s="9" t="n">
        <x:v>15.1</x:v>
      </x:c>
      <x:c r="J65" s="9" t="n">
        <x:f>IF(H65="","",ROUND(H65-E65,2))</x:f>
        <x:v>2.83</x:v>
      </x:c>
    </x:row>
    <x:row r="66" ht="23" customHeight="1">
      <x:c r="A66" s="2" t="str">
        <x:v>V/Fatura FT FA.2026K/55</x:v>
      </x:c>
      <x:c r="B66" s="7" t="n">
        <x:v>46172</x:v>
      </x:c>
      <x:c r="C66" s="2" t="str">
        <x:v>EASYWASH UNIPESSOAL, LDA</x:v>
      </x:c>
      <x:c r="D66" s="9" t="n">
        <x:v>803.17</x:v>
      </x:c>
      <x:c r="E66" s="9" t="n">
        <x:v>184.73</x:v>
      </x:c>
      <x:c r="F66" s="9" t="n">
        <x:v>987.9</x:v>
      </x:c>
      <x:c r="G66" s="9" t="n">
        <x:v>618.44</x:v>
      </x:c>
      <x:c r="H66" s="9" t="n">
        <x:v>369.46</x:v>
      </x:c>
      <x:c r="I66" s="9" t="n">
        <x:v>987.9</x:v>
      </x:c>
      <x:c r="J66" s="9" t="n">
        <x:f>IF(H66="","",ROUND(H66-E66,2))</x:f>
        <x:v>184.73</x:v>
      </x:c>
    </x:row>
    <x:row r="67" ht="23" customHeight="1">
      <x:c r="A67" s="2" t="str">
        <x:v>V/Fatura FT FA.2026L/8</x:v>
      </x:c>
      <x:c r="B67" s="7" t="n">
        <x:v>46172</x:v>
      </x:c>
      <x:c r="C67" s="2" t="str">
        <x:v>EASYWASH UNIPESSOAL, LDA</x:v>
      </x:c>
      <x:c r="D67" s="9" t="n">
        <x:v>27</x:v>
      </x:c>
      <x:c r="E67" s="9" t="n">
        <x:v>6.21</x:v>
      </x:c>
      <x:c r="F67" s="9" t="n">
        <x:v>33.21</x:v>
      </x:c>
      <x:c r="G67" s="9" t="n">
        <x:v>27</x:v>
      </x:c>
      <x:c r="H67" s="9" t="n">
        <x:v>6.21</x:v>
      </x:c>
      <x:c r="I67" s="9" t="n">
        <x:v>33.21</x:v>
      </x:c>
      <x:c r="J67" s="9" t="n">
        <x:f>IF(H67="","",ROUND(H67-E67,2))</x:f>
        <x:v>0</x:v>
      </x:c>
    </x:row>
    <x:row r="68" ht="23" customHeight="1">
      <x:c r="A68" s="2" t="str">
        <x:v>V/Fatura 204</x:v>
      </x:c>
      <x:c r="B68" s="7" t="n">
        <x:v>46173</x:v>
      </x:c>
      <x:c r="C68" s="2" t="str">
        <x:v>CPGEST - CONTABILIDADE GESTÃO E CONSULTORIA LDA</x:v>
      </x:c>
      <x:c r="D68" s="9" t="n">
        <x:v>300</x:v>
      </x:c>
      <x:c r="E68" s="9" t="n">
        <x:v>69</x:v>
      </x:c>
      <x:c r="F68" s="9" t="n">
        <x:v>369</x:v>
      </x:c>
      <x:c r="G68" s="9" t="n">
        <x:v>300</x:v>
      </x:c>
      <x:c r="H68" s="9" t="n">
        <x:v>69</x:v>
      </x:c>
      <x:c r="I68" s="9" t="n">
        <x:v>369</x:v>
      </x:c>
      <x:c r="J68" s="9" t="n">
        <x:f>IF(H68="","",ROUND(H68-E68,2))</x:f>
        <x:v>0</x:v>
      </x:c>
    </x:row>
    <x:row r="69" ht="23" customHeight="1">
      <x:c r="A69" s="2" t="str">
        <x:v>V/Fatura FT M/2409</x:v>
      </x:c>
      <x:c r="B69" s="7" t="n">
        <x:v>46173</x:v>
      </x:c>
      <x:c r="C69" s="2" t="str">
        <x:v>LAVANDARIA BARREIROS LDA</x:v>
      </x:c>
      <x:c r="D69" s="9" t="n">
        <x:v>850.01</x:v>
      </x:c>
      <x:c r="E69" s="9" t="n">
        <x:v>195.5</x:v>
      </x:c>
      <x:c r="F69" s="9" t="n">
        <x:v>1045.51</x:v>
      </x:c>
      <x:c r="G69" s="9" t="n">
        <x:v>654.51</x:v>
      </x:c>
      <x:c r="H69" s="9" t="n">
        <x:v>391</x:v>
      </x:c>
      <x:c r="I69" s="9" t="n">
        <x:v>1045.51</x:v>
      </x:c>
      <x:c r="J69" s="9" t="n">
        <x:f>IF(H69="","",ROUND(H69-E69,2))</x:f>
        <x:v>195.5</x:v>
      </x:c>
    </x:row>
    <x:row r="70" ht="23" customHeight="1">
      <x:c r="A70" s="2" t="str">
        <x:v>V/Fatura FT M/2415</x:v>
      </x:c>
      <x:c r="B70" s="7" t="n">
        <x:v>46173</x:v>
      </x:c>
      <x:c r="C70" s="2" t="str">
        <x:v>LAVANDARIA BARREIROS LDA</x:v>
      </x:c>
      <x:c r="D70" s="9" t="n">
        <x:v>292.68</x:v>
      </x:c>
      <x:c r="E70" s="9" t="n">
        <x:v>67.32</x:v>
      </x:c>
      <x:c r="F70" s="9" t="n">
        <x:v>360</x:v>
      </x:c>
      <x:c r="G70" s="9" t="n">
        <x:v>225.37</x:v>
      </x:c>
      <x:c r="H70" s="9" t="n">
        <x:v>134.63</x:v>
      </x:c>
      <x:c r="I70" s="9" t="n">
        <x:v>360</x:v>
      </x:c>
      <x:c r="J70" s="9" t="n">
        <x:f>IF(H70="","",ROUND(H70-E70,2))</x:f>
        <x:v>67.31</x:v>
      </x:c>
    </x:row>
    <x:row r="71" ht="23" customHeight="1">
      <x:c r="A71" s="2" t="str">
        <x:v>V/Fatura 2150752114</x:v>
      </x:c>
      <x:c r="B71" s="7" t="n">
        <x:v>46173</x:v>
      </x:c>
      <x:c r="C71" s="2" t="str">
        <x:v>PETROGAL, S.A.</x:v>
      </x:c>
      <x:c r="D71" s="9" t="n">
        <x:v>141.81</x:v>
      </x:c>
      <x:c r="E71" s="9" t="n">
        <x:v>32.62</x:v>
      </x:c>
      <x:c r="F71" s="9" t="n">
        <x:v>174.43</x:v>
      </x:c>
      <x:c r="G71" s="9" t="n">
        <x:v>125.51</x:v>
      </x:c>
      <x:c r="H71" s="9" t="n">
        <x:v>48.92</x:v>
      </x:c>
      <x:c r="I71" s="9" t="n">
        <x:v>174.43</x:v>
      </x:c>
      <x:c r="J71" s="9" t="n">
        <x:f>IF(H71="","",ROUND(H71-E71,2))</x:f>
        <x:v>16.3</x:v>
      </x:c>
    </x:row>
    <x:row r="72" ht="23" customHeight="1">
      <x:c r="A72" s="2" t="str">
        <x:v>V/Fatura FAC 262/122</x:v>
      </x:c>
      <x:c r="B72" s="7" t="n">
        <x:v>46173</x:v>
      </x:c>
      <x:c r="C72" s="2" t="str">
        <x:v>REGRAS E VISÃO LDA</x:v>
      </x:c>
      <x:c r="D72" s="9" t="n">
        <x:v>489.72</x:v>
      </x:c>
      <x:c r="E72" s="9" t="n">
        <x:v>112.64</x:v>
      </x:c>
      <x:c r="F72" s="9" t="n">
        <x:v>602.36</x:v>
      </x:c>
      <x:c r="G72" s="9" t="n">
        <x:v>377.09</x:v>
      </x:c>
      <x:c r="H72" s="9" t="n">
        <x:v>225.27</x:v>
      </x:c>
      <x:c r="I72" s="9" t="n">
        <x:v>602.36</x:v>
      </x:c>
      <x:c r="J72" s="9" t="n">
        <x:f>IF(H72="","",ROUND(H72-E72,2))</x:f>
        <x:v>112.63</x:v>
      </x:c>
    </x:row>
    <x:row r="73" ht="23" customHeight="1">
      <x:c r="A73" s="2" t="str">
        <x:v>V/Fatura 83</x:v>
      </x:c>
      <x:c r="B73" s="7" t="n">
        <x:v>46174</x:v>
      </x:c>
      <x:c r="C73" s="2" t="str">
        <x:v>JORGE GONÇALVES PEREIRA UNIPESSOAL LDA</x:v>
      </x:c>
      <x:c r="D73" s="9" t="n">
        <x:v>304.88</x:v>
      </x:c>
      <x:c r="E73" s="9" t="n">
        <x:v>70.12</x:v>
      </x:c>
      <x:c r="F73" s="9" t="n">
        <x:v>375</x:v>
      </x:c>
      <x:c r="G73" s="9" t="n">
        <x:v>304.89</x:v>
      </x:c>
      <x:c r="H73" s="9" t="n">
        <x:v>70.11</x:v>
      </x:c>
      <x:c r="I73" s="9" t="n">
        <x:v>375</x:v>
      </x:c>
      <x:c r="J73" s="9" t="n">
        <x:f>IF(H73="","",ROUND(H73-E73,2))</x:f>
        <x:v>-0.01</x:v>
      </x:c>
    </x:row>
    <x:row r="74" ht="23" customHeight="1">
      <x:c r="A74" s="2" t="str">
        <x:v>V/Fatura Recibo FR Q26/1137676</x:v>
      </x:c>
      <x:c r="B74" s="7" t="n">
        <x:v>46174</x:v>
      </x:c>
      <x:c r="C74" s="2" t="str">
        <x:v>SECURITAS DIRECT PORTUGAL UNIPESSOAL LDA</x:v>
      </x:c>
      <x:c r="D74" s="9" t="n">
        <x:v>38</x:v>
      </x:c>
      <x:c r="E74" s="9" t="n">
        <x:v>8.74</x:v>
      </x:c>
      <x:c r="F74" s="9" t="n">
        <x:v>46.74</x:v>
      </x:c>
      <x:c r="G74" s="9" t="n">
        <x:v>38</x:v>
      </x:c>
      <x:c r="H74" s="9" t="n">
        <x:v>8.74</x:v>
      </x:c>
      <x:c r="I74" s="9" t="n">
        <x:v>46.74</x:v>
      </x:c>
      <x:c r="J74" s="9" t="n">
        <x:f>IF(H74="","",ROUND(H74-E74,2))</x:f>
        <x:v>0</x:v>
      </x:c>
    </x:row>
    <x:row r="75" ht="23" customHeight="1">
      <x:c r="A75" s="2" t="str">
        <x:v>V/Fatura Recibo 080280</x:v>
      </x:c>
      <x:c r="B75" s="7" t="n">
        <x:v>46175</x:v>
      </x:c>
      <x:c r="C75" s="2" t="str">
        <x:v>IRMÃDONA SUPERMERCADOS, UNIPESSOAL, LDA.</x:v>
      </x:c>
      <x:c r="D75" s="9" t="n">
        <x:v>21.1</x:v>
      </x:c>
      <x:c r="E75" s="9" t="n">
        <x:v>4.85</x:v>
      </x:c>
      <x:c r="F75" s="9" t="n">
        <x:v>25.95</x:v>
      </x:c>
      <x:c r="G75" s="9" t="n">
        <x:v>21.1</x:v>
      </x:c>
      <x:c r="H75" s="9" t="n">
        <x:v>4.85</x:v>
      </x:c>
      <x:c r="I75" s="9" t="n">
        <x:v>25.95</x:v>
      </x:c>
      <x:c r="J75" s="9" t="n">
        <x:f>IF(H75="","",ROUND(H75-E75,2))</x:f>
        <x:v>0</x:v>
      </x:c>
    </x:row>
    <x:row r="76" ht="23" customHeight="1">
      <x:c r="A76" s="2" t="str">
        <x:v>V/Fatura 216</x:v>
      </x:c>
      <x:c r="B76" s="7" t="n">
        <x:v>46176</x:v>
      </x:c>
      <x:c r="C76" s="2" t="str">
        <x:v>FAFRINOG EQUIPAMENTOS HOTELEIROS LDA</x:v>
      </x:c>
      <x:c r="D76" s="9" t="n">
        <x:v>810</x:v>
      </x:c>
      <x:c r="E76" s="9" t="n">
        <x:v>186.3</x:v>
      </x:c>
      <x:c r="F76" s="9" t="n">
        <x:v>996.3</x:v>
      </x:c>
      <x:c r="G76" s="9" t="n">
        <x:v>810</x:v>
      </x:c>
      <x:c r="H76" s="9" t="n">
        <x:v>186.3</x:v>
      </x:c>
      <x:c r="I76" s="9" t="n">
        <x:v>996.3</x:v>
      </x:c>
      <x:c r="J76" s="9" t="n">
        <x:f>IF(H76="","",ROUND(H76-E76,2))</x:f>
        <x:v>0</x:v>
      </x:c>
    </x:row>
    <x:row r="77" ht="23" customHeight="1">
      <x:c r="A77" s="2" t="str">
        <x:v>V/Fatura Recibo 115001216</x:v>
      </x:c>
      <x:c r="B77" s="7" t="n">
        <x:v>46176</x:v>
      </x:c>
      <x:c r="C77" s="2" t="str">
        <x:v>VODAFONE PORTUGAL - COMUNICAÇÕES PESSOAIS S A</x:v>
      </x:c>
      <x:c r="D77" s="9" t="n">
        <x:v>34.55</x:v>
      </x:c>
      <x:c r="E77" s="9" t="n">
        <x:v>7.95</x:v>
      </x:c>
      <x:c r="F77" s="9" t="n">
        <x:v>42.5</x:v>
      </x:c>
      <x:c r="G77" s="9" t="n">
        <x:v>34.55</x:v>
      </x:c>
      <x:c r="H77" s="9" t="n">
        <x:v>7.95</x:v>
      </x:c>
      <x:c r="I77" s="9" t="n">
        <x:v>42.5</x:v>
      </x:c>
      <x:c r="J77" s="9" t="n">
        <x:f>IF(H77="","",ROUND(H77-E77,2))</x:f>
        <x:v>0</x:v>
      </x:c>
    </x:row>
    <x:row r="78" ht="23" customHeight="1">
      <x:c r="A78" s="2" t="str">
        <x:v>V/Fatura Recibo FT 101/114999832</x:v>
      </x:c>
      <x:c r="B78" s="7" t="n">
        <x:v>46176</x:v>
      </x:c>
      <x:c r="C78" s="2" t="str">
        <x:v>VODAFONE PORTUGAL - COMUNICAÇÕES PESSOAIS S A</x:v>
      </x:c>
      <x:c r="D78" s="9" t="n">
        <x:v>34.55</x:v>
      </x:c>
      <x:c r="E78" s="9" t="n">
        <x:v>7.95</x:v>
      </x:c>
      <x:c r="F78" s="9" t="n">
        <x:v>42.5</x:v>
      </x:c>
      <x:c r="G78" s="9" t="n">
        <x:v>34.55</x:v>
      </x:c>
      <x:c r="H78" s="9" t="n">
        <x:v>7.95</x:v>
      </x:c>
      <x:c r="I78" s="9" t="n">
        <x:v>42.5</x:v>
      </x:c>
      <x:c r="J78" s="9" t="n">
        <x:f>IF(H78="","",ROUND(H78-E78,2))</x:f>
        <x:v>0</x:v>
      </x:c>
    </x:row>
    <x:row r="79" ht="23" customHeight="1">
      <x:c r="A79" s="2" t="str">
        <x:v>V/Fatura 1996034615</x:v>
      </x:c>
      <x:c r="B79" s="7" t="n">
        <x:v>46181</x:v>
      </x:c>
      <x:c r="C79" s="2" t="str">
        <x:v>PETROGAL, S.A.</x:v>
      </x:c>
      <x:c r="D79" s="9" t="n">
        <x:v>65.39</x:v>
      </x:c>
      <x:c r="E79" s="9" t="n">
        <x:v>15.04</x:v>
      </x:c>
      <x:c r="F79" s="9" t="n">
        <x:v>80.43</x:v>
      </x:c>
      <x:c r="G79" s="9" t="n">
        <x:v>65.39</x:v>
      </x:c>
      <x:c r="H79" s="9" t="n">
        <x:v>15.04</x:v>
      </x:c>
      <x:c r="I79" s="9" t="n">
        <x:v>80.43</x:v>
      </x:c>
      <x:c r="J79" s="9" t="n">
        <x:f>IF(H79="","",ROUND(H79-E79,2))</x:f>
        <x:v>0</x:v>
      </x:c>
    </x:row>
    <x:row r="80" ht="23" customHeight="1">
      <x:c r="A80" s="2" t="str">
        <x:v>V/Fatura Recibo 16</x:v>
      </x:c>
      <x:c r="B80" s="7" t="n">
        <x:v>46182</x:v>
      </x:c>
      <x:c r="C80" s="2" t="str">
        <x:v>MALHEIRO &amp; FILHOS LDA</x:v>
      </x:c>
      <x:c r="D80" s="9" t="n">
        <x:v>280.49</x:v>
      </x:c>
      <x:c r="E80" s="9" t="n">
        <x:v>64.51</x:v>
      </x:c>
      <x:c r="F80" s="9" t="n">
        <x:v>345</x:v>
      </x:c>
      <x:c r="G80" s="9" t="n">
        <x:v>280.49</x:v>
      </x:c>
      <x:c r="H80" s="9" t="n">
        <x:v>64.51</x:v>
      </x:c>
      <x:c r="I80" s="9" t="n">
        <x:v>345</x:v>
      </x:c>
      <x:c r="J80" s="9" t="n">
        <x:f>IF(H80="","",ROUND(H80-E80,2))</x:f>
        <x:v>0</x:v>
      </x:c>
    </x:row>
    <x:row r="81" ht="23" customHeight="1">
      <x:c r="A81" s="2" t="str">
        <x:v>V/Fatura Recibo FT 1/55629</x:v>
      </x:c>
      <x:c r="B81" s="7" t="n">
        <x:v>46184</x:v>
      </x:c>
      <x:c r="C81" s="2" t="str">
        <x:v>DANIFER HIGIENE INDUSTRIAL LDA</x:v>
      </x:c>
      <x:c r="D81" s="9" t="n">
        <x:v>124.65</x:v>
      </x:c>
      <x:c r="E81" s="9" t="n">
        <x:v>28.67</x:v>
      </x:c>
      <x:c r="F81" s="9" t="n">
        <x:v>153.32</x:v>
      </x:c>
      <x:c r="G81" s="9" t="n">
        <x:v>124.65</x:v>
      </x:c>
      <x:c r="H81" s="9" t="n">
        <x:v>28.67</x:v>
      </x:c>
      <x:c r="I81" s="9" t="n">
        <x:v>153.32</x:v>
      </x:c>
      <x:c r="J81" s="9" t="n">
        <x:f>IF(H81="","",ROUND(H81-E81,2))</x:f>
        <x:v>0</x:v>
      </x:c>
    </x:row>
    <x:row r="82" ht="23" customHeight="1">
      <x:c r="A82" s="2" t="str">
        <x:v>V/Fatura Recibo FR 01P2026/331</x:v>
      </x:c>
      <x:c r="B82" s="7" t="n">
        <x:v>46185</x:v>
      </x:c>
      <x:c r="C82" s="2" t="str">
        <x:v>FERNANDO AUGUSTO PORTELA SIMÕES</x:v>
      </x:c>
      <x:c r="D82" s="9" t="n">
        <x:v>40.45</x:v>
      </x:c>
      <x:c r="E82" s="9" t="n">
        <x:v>9.3</x:v>
      </x:c>
      <x:c r="F82" s="9" t="n">
        <x:v>49.75</x:v>
      </x:c>
      <x:c r="G82" s="9" t="n">
        <x:v>40.45</x:v>
      </x:c>
      <x:c r="H82" s="9" t="n">
        <x:v>9.3</x:v>
      </x:c>
      <x:c r="I82" s="9" t="n">
        <x:v>49.75</x:v>
      </x:c>
      <x:c r="J82" s="9" t="n">
        <x:f>IF(H82="","",ROUND(H82-E82,2))</x:f>
        <x:v>0</x:v>
      </x:c>
    </x:row>
    <x:row r="83" ht="23" customHeight="1">
      <x:c r="A83" s="2" t="str">
        <x:v>V/Fatura FT 2025/77</x:v>
      </x:c>
      <x:c r="B83" s="7" t="n">
        <x:v>46185</x:v>
      </x:c>
      <x:c r="C83" s="2" t="str">
        <x:v>HABILIDADE PERFUMADA LDA</x:v>
      </x:c>
      <x:c r="D83" s="9" t="n">
        <x:v>651.4</x:v>
      </x:c>
      <x:c r="E83" s="9" t="n">
        <x:v>149.82</x:v>
      </x:c>
      <x:c r="F83" s="9" t="n">
        <x:v>801.22</x:v>
      </x:c>
      <x:c r="G83" s="9" t="n">
        <x:v>651.4</x:v>
      </x:c>
      <x:c r="H83" s="9" t="n">
        <x:v>149.82</x:v>
      </x:c>
      <x:c r="I83" s="9" t="n">
        <x:v>801.22</x:v>
      </x:c>
      <x:c r="J83" s="9" t="n">
        <x:f>IF(H83="","",ROUND(H83-E83,2))</x:f>
        <x:v>0</x:v>
      </x:c>
    </x:row>
    <x:row r="84" ht="23" customHeight="1">
      <x:c r="A84" s="2" t="str">
        <x:v>V/Fatura ZGFF BAHK/2150756062</x:v>
      </x:c>
      <x:c r="B84" s="7" t="n">
        <x:v>46188</x:v>
      </x:c>
      <x:c r="C84" s="2" t="str">
        <x:v>PETROGAL, S.A.</x:v>
      </x:c>
      <x:c r="D84" s="9" t="n">
        <x:v>236.21</x:v>
      </x:c>
      <x:c r="E84" s="9" t="n">
        <x:v>54.33</x:v>
      </x:c>
      <x:c r="F84" s="9" t="n">
        <x:v>290.54</x:v>
      </x:c>
      <x:c r="G84" s="9" t="n">
        <x:v>263.38</x:v>
      </x:c>
      <x:c r="H84" s="9" t="n">
        <x:v>27.16</x:v>
      </x:c>
      <x:c r="I84" s="9" t="n">
        <x:v>290.54</x:v>
      </x:c>
      <x:c r="J84" s="9" t="n">
        <x:f>IF(H84="","",ROUND(H84-E84,2))</x:f>
        <x:v>-27.17</x:v>
      </x:c>
    </x:row>
    <x:row r="85" ht="23" customHeight="1">
      <x:c r="A85" s="2" t="str">
        <x:v>V/Fatura 148</x:v>
      </x:c>
      <x:c r="B85" s="7" t="n">
        <x:v>46188</x:v>
      </x:c>
      <x:c r="C85" s="2" t="str">
        <x:v>REGRAS E VISÃO LDA</x:v>
      </x:c>
      <x:c r="D85" s="9" t="n">
        <x:v>529.41</x:v>
      </x:c>
      <x:c r="E85" s="9" t="n">
        <x:v>121.76</x:v>
      </x:c>
      <x:c r="F85" s="9" t="n">
        <x:v>651.17</x:v>
      </x:c>
      <x:c r="G85" s="9" t="n">
        <x:v>529.41</x:v>
      </x:c>
      <x:c r="H85" s="9" t="n">
        <x:v>121.76</x:v>
      </x:c>
      <x:c r="I85" s="9" t="n">
        <x:v>651.17</x:v>
      </x:c>
      <x:c r="J85" s="9" t="n">
        <x:f>IF(H85="","",ROUND(H85-E85,2))</x:f>
        <x:v>0</x:v>
      </x:c>
    </x:row>
    <x:row r="86" ht="23" customHeight="1">
      <x:c r="A86" s="2" t="str">
        <x:v>V/Fatura 8</x:v>
      </x:c>
      <x:c r="B86" s="7" t="n">
        <x:v>46189</x:v>
      </x:c>
      <x:c r="C86" s="2" t="str">
        <x:v>BICA13, Lda</x:v>
      </x:c>
      <x:c r="D86" s="9" t="n">
        <x:v>2500</x:v>
      </x:c>
      <x:c r="E86" s="9" t="n">
        <x:v>575</x:v>
      </x:c>
      <x:c r="F86" s="9" t="n">
        <x:v>3075</x:v>
      </x:c>
      <x:c r="G86" s="9"/>
      <x:c r="H86" s="9"/>
      <x:c r="I86" s="9"/>
      <x:c r="J86" s="9" t="str">
        <x:f>IF(H86="","",ROUND(H86-E86,2))</x:f>
      </x:c>
    </x:row>
    <x:row r="87" ht="23" customHeight="1">
      <x:c r="A87" s="2" t="str">
        <x:v>V/Fatura 9</x:v>
      </x:c>
      <x:c r="B87" s="7" t="n">
        <x:v>46189</x:v>
      </x:c>
      <x:c r="C87" s="2" t="str">
        <x:v>BICA13, Lda</x:v>
      </x:c>
      <x:c r="D87" s="9" t="n">
        <x:v>4700</x:v>
      </x:c>
      <x:c r="E87" s="9" t="n">
        <x:v>1081</x:v>
      </x:c>
      <x:c r="F87" s="9" t="n">
        <x:v>5781</x:v>
      </x:c>
      <x:c r="G87" s="9"/>
      <x:c r="H87" s="9"/>
      <x:c r="I87" s="9"/>
      <x:c r="J87" s="9" t="str">
        <x:f>IF(H87="","",ROUND(H87-E87,2))</x:f>
      </x:c>
    </x:row>
    <x:row r="88" ht="23" customHeight="1">
      <x:c r="A88" s="2" t="str">
        <x:v>V/Fatura Recibo 0011133</x:v>
      </x:c>
      <x:c r="B88" s="7" t="n">
        <x:v>46189</x:v>
      </x:c>
      <x:c r="C88" s="2" t="str">
        <x:v>IKEA PORTUGAL MOVEIS E DECORAÇÃO LDA</x:v>
      </x:c>
      <x:c r="D88" s="9" t="n">
        <x:v>186.01</x:v>
      </x:c>
      <x:c r="E88" s="9" t="n">
        <x:v>42.78</x:v>
      </x:c>
      <x:c r="F88" s="9" t="n">
        <x:v>228.79</x:v>
      </x:c>
      <x:c r="G88" s="9" t="n">
        <x:v>186</x:v>
      </x:c>
      <x:c r="H88" s="9" t="n">
        <x:v>42.79</x:v>
      </x:c>
      <x:c r="I88" s="9" t="n">
        <x:v>228.79</x:v>
      </x:c>
      <x:c r="J88" s="9" t="n">
        <x:f>IF(H88="","",ROUND(H88-E88,2))</x:f>
        <x:v>0.01</x:v>
      </x:c>
    </x:row>
    <x:row r="89" ht="23" customHeight="1">
      <x:c r="A89" s="2" t="str">
        <x:v>V/Fatura Recibo 1523</x:v>
      </x:c>
      <x:c r="B89" s="7" t="n">
        <x:v>46189</x:v>
      </x:c>
      <x:c r="C89" s="2" t="str">
        <x:v>MAREC - ESPAÇO CASA S A</x:v>
      </x:c>
      <x:c r="D89" s="9" t="n">
        <x:v>66.23</x:v>
      </x:c>
      <x:c r="E89" s="9" t="n">
        <x:v>15.23</x:v>
      </x:c>
      <x:c r="F89" s="9" t="n">
        <x:v>81.46</x:v>
      </x:c>
      <x:c r="G89" s="9" t="n">
        <x:v>66.23</x:v>
      </x:c>
      <x:c r="H89" s="9" t="n">
        <x:v>15.23</x:v>
      </x:c>
      <x:c r="I89" s="9" t="n">
        <x:v>81.46</x:v>
      </x:c>
      <x:c r="J89" s="9" t="n">
        <x:f>IF(H89="","",ROUND(H89-E89,2))</x:f>
        <x:v>0</x:v>
      </x:c>
    </x:row>
    <x:row r="90" ht="23" customHeight="1">
      <x:c r="A90" s="2" t="str">
        <x:v>V/Fatura FT FA.2026K/63</x:v>
      </x:c>
      <x:c r="B90" s="7" t="n">
        <x:v>46191</x:v>
      </x:c>
      <x:c r="C90" s="2" t="str">
        <x:v>EASYWASH UNIPESSOAL, LDA</x:v>
      </x:c>
      <x:c r="D90" s="9" t="n">
        <x:v>910.69</x:v>
      </x:c>
      <x:c r="E90" s="9" t="n">
        <x:v>209.46</x:v>
      </x:c>
      <x:c r="F90" s="9" t="n">
        <x:v>1120.15</x:v>
      </x:c>
      <x:c r="G90" s="9" t="n">
        <x:v>910.69</x:v>
      </x:c>
      <x:c r="H90" s="9" t="n">
        <x:v>209.46</x:v>
      </x:c>
      <x:c r="I90" s="9" t="n">
        <x:v>1120.15</x:v>
      </x:c>
      <x:c r="J90" s="9" t="n">
        <x:f>IF(H90="","",ROUND(H90-E90,2))</x:f>
        <x:v>0</x:v>
      </x:c>
    </x:row>
    <x:row r="91" ht="23" customHeight="1">
      <x:c r="A91" s="2" t="str">
        <x:v>V/Fatura FT FA.2026L/9</x:v>
      </x:c>
      <x:c r="B91" s="7" t="n">
        <x:v>46191</x:v>
      </x:c>
      <x:c r="C91" s="2" t="str">
        <x:v>EASYWASH UNIPESSOAL, LDA</x:v>
      </x:c>
      <x:c r="D91" s="9" t="n">
        <x:v>41.5</x:v>
      </x:c>
      <x:c r="E91" s="9" t="n">
        <x:v>9.54</x:v>
      </x:c>
      <x:c r="F91" s="9" t="n">
        <x:v>51.04</x:v>
      </x:c>
      <x:c r="G91" s="9" t="n">
        <x:v>31.95</x:v>
      </x:c>
      <x:c r="H91" s="9" t="n">
        <x:v>19.09</x:v>
      </x:c>
      <x:c r="I91" s="9" t="n">
        <x:v>51.04</x:v>
      </x:c>
      <x:c r="J91" s="9" t="n">
        <x:f>IF(H91="","",ROUND(H91-E91,2))</x:f>
        <x:v>9.55</x:v>
      </x:c>
    </x:row>
    <x:row r="92" ht="23" customHeight="1">
      <x:c r="A92" s="2" t="str">
        <x:v>V/Fatura 1 2026/10</x:v>
      </x:c>
      <x:c r="B92" s="7" t="n">
        <x:v>46192</x:v>
      </x:c>
      <x:c r="C92" s="2" t="str">
        <x:v>BICA13, Lda</x:v>
      </x:c>
      <x:c r="D92" s="9" t="n">
        <x:v>7500</x:v>
      </x:c>
      <x:c r="E92" s="9" t="n">
        <x:v>1472</x:v>
      </x:c>
      <x:c r="F92" s="9" t="n">
        <x:v>8972</x:v>
      </x:c>
      <x:c r="G92" s="9"/>
      <x:c r="H92" s="9"/>
      <x:c r="I92" s="9"/>
      <x:c r="J92" s="9" t="str">
        <x:f>IF(H92="","",ROUND(H92-E92,2))</x:f>
      </x:c>
    </x:row>
    <x:row r="93" ht="23" customHeight="1">
      <x:c r="A93" s="2" t="str">
        <x:v>V/Fatura Recibo 005396</x:v>
      </x:c>
      <x:c r="B93" s="7" t="n">
        <x:v>46199</x:v>
      </x:c>
      <x:c r="C93" s="2" t="str">
        <x:v>BCM BRICOLAGE S A</x:v>
      </x:c>
      <x:c r="D93" s="9" t="n">
        <x:v>103.57</x:v>
      </x:c>
      <x:c r="E93" s="9" t="n">
        <x:v>23.82</x:v>
      </x:c>
      <x:c r="F93" s="9" t="n">
        <x:v>127.39</x:v>
      </x:c>
      <x:c r="G93" s="9" t="n">
        <x:v>79.75</x:v>
      </x:c>
      <x:c r="H93" s="9" t="n">
        <x:v>47.64</x:v>
      </x:c>
      <x:c r="I93" s="9" t="n">
        <x:v>127.39</x:v>
      </x:c>
      <x:c r="J93" s="9" t="n">
        <x:f>IF(H93="","",ROUND(H93-E93,2))</x:f>
        <x:v>23.82</x:v>
      </x:c>
    </x:row>
    <x:row r="94" ht="23" customHeight="1">
      <x:c r="A94" s="2" t="str">
        <x:v>V/Fatura Recibo 103303</x:v>
      </x:c>
      <x:c r="B94" s="7" t="n">
        <x:v>46199</x:v>
      </x:c>
      <x:c r="C94" s="2" t="str">
        <x:v>RADIO POPULAR ELECTRODOMESTICOS SA</x:v>
      </x:c>
      <x:c r="D94" s="9" t="n">
        <x:v>162.56</x:v>
      </x:c>
      <x:c r="E94" s="9" t="n">
        <x:v>37.39</x:v>
      </x:c>
      <x:c r="F94" s="9" t="n">
        <x:v>199.95</x:v>
      </x:c>
      <x:c r="G94" s="9" t="n">
        <x:v>125.17</x:v>
      </x:c>
      <x:c r="H94" s="9" t="n">
        <x:v>74.78</x:v>
      </x:c>
      <x:c r="I94" s="9" t="n">
        <x:v>199.95</x:v>
      </x:c>
      <x:c r="J94" s="9" t="n">
        <x:f>IF(H94="","",ROUND(H94-E94,2))</x:f>
        <x:v>37.39</x:v>
      </x:c>
    </x:row>
    <x:row r="95" ht="23" customHeight="1">
      <x:c r="A95" s="2" t="str">
        <x:v>V/Fatura Recibo 103305</x:v>
      </x:c>
      <x:c r="B95" s="7" t="n">
        <x:v>46199</x:v>
      </x:c>
      <x:c r="C95" s="2" t="str">
        <x:v>RADIO POPULAR ELECTRODOMESTICOS SA</x:v>
      </x:c>
      <x:c r="D95" s="9" t="n">
        <x:v>162.56</x:v>
      </x:c>
      <x:c r="E95" s="9" t="n">
        <x:v>37.39</x:v>
      </x:c>
      <x:c r="F95" s="9" t="n">
        <x:v>199.95</x:v>
      </x:c>
      <x:c r="G95" s="9" t="n">
        <x:v>125.17</x:v>
      </x:c>
      <x:c r="H95" s="9" t="n">
        <x:v>74.78</x:v>
      </x:c>
      <x:c r="I95" s="9" t="n">
        <x:v>199.95</x:v>
      </x:c>
      <x:c r="J95" s="9" t="n">
        <x:f>IF(H95="","",ROUND(H95-E95,2))</x:f>
        <x:v>37.39</x:v>
      </x:c>
    </x:row>
    <x:row r="96" ht="23" customHeight="1">
      <x:c r="A96" s="2" t="str">
        <x:v>V/Fatura FT 2026/98</x:v>
      </x:c>
      <x:c r="B96" s="7" t="n">
        <x:v>46202</x:v>
      </x:c>
      <x:c r="C96" s="2" t="str">
        <x:v>JORGE GONÇALVES PEREIRA UNIPESSOAL LDA</x:v>
      </x:c>
      <x:c r="D96" s="9" t="n">
        <x:v>40.65</x:v>
      </x:c>
      <x:c r="E96" s="9" t="n">
        <x:v>9.35</x:v>
      </x:c>
      <x:c r="F96" s="9" t="n">
        <x:v>50</x:v>
      </x:c>
      <x:c r="G96" s="9" t="n">
        <x:v>31.3</x:v>
      </x:c>
      <x:c r="H96" s="9" t="n">
        <x:v>18.7</x:v>
      </x:c>
      <x:c r="I96" s="9" t="n">
        <x:v>50</x:v>
      </x:c>
      <x:c r="J96" s="9" t="n">
        <x:f>IF(H96="","",ROUND(H96-E96,2))</x:f>
        <x:v>9.35</x:v>
      </x:c>
    </x:row>
    <x:row r="97" ht="23" customHeight="1">
      <x:c r="A97" s="2" t="str">
        <x:v>V/Fatura FT 2026/99</x:v>
      </x:c>
      <x:c r="B97" s="7" t="n">
        <x:v>46202</x:v>
      </x:c>
      <x:c r="C97" s="2" t="str">
        <x:v>JORGE GONÇALVES PEREIRA UNIPESSOAL LDA</x:v>
      </x:c>
      <x:c r="D97" s="9" t="n">
        <x:v>134.15</x:v>
      </x:c>
      <x:c r="E97" s="9" t="n">
        <x:v>30.85</x:v>
      </x:c>
      <x:c r="F97" s="9" t="n">
        <x:v>165</x:v>
      </x:c>
      <x:c r="G97" s="9" t="n">
        <x:v>103.29</x:v>
      </x:c>
      <x:c r="H97" s="9" t="n">
        <x:v>61.71</x:v>
      </x:c>
      <x:c r="I97" s="9" t="n">
        <x:v>165</x:v>
      </x:c>
      <x:c r="J97" s="9" t="n">
        <x:f>IF(H97="","",ROUND(H97-E97,2))</x:f>
        <x:v>30.86</x:v>
      </x:c>
    </x:row>
    <x:row r="98" ht="23" customHeight="1">
      <x:c r="A98" s="2" t="str">
        <x:v>V/Fatura Recibo 103778</x:v>
      </x:c>
      <x:c r="B98" s="7" t="n">
        <x:v>46202</x:v>
      </x:c>
      <x:c r="C98" s="2" t="str">
        <x:v>RADIO POPULAR ELECTRODOMESTICOS SA</x:v>
      </x:c>
      <x:c r="D98" s="9" t="n">
        <x:v>39.65</x:v>
      </x:c>
      <x:c r="E98" s="9" t="n">
        <x:v>9.12</x:v>
      </x:c>
      <x:c r="F98" s="9" t="n">
        <x:v>48.77</x:v>
      </x:c>
      <x:c r="G98" s="9" t="n">
        <x:v>30.53</x:v>
      </x:c>
      <x:c r="H98" s="9" t="n">
        <x:v>18.24</x:v>
      </x:c>
      <x:c r="I98" s="9" t="n">
        <x:v>48.77</x:v>
      </x:c>
      <x:c r="J98" s="9" t="n">
        <x:f>IF(H98="","",ROUND(H98-E98,2))</x:f>
        <x:v>9.12</x:v>
      </x:c>
    </x:row>
    <x:row r="99" ht="23" customHeight="1">
      <x:c r="A99" s="2" t="str">
        <x:v>V/Fatura Recibo 1933</x:v>
      </x:c>
      <x:c r="B99" s="7" t="n">
        <x:v>46203</x:v>
      </x:c>
      <x:c r="C99" s="2" t="str">
        <x:v>CTT - CORREIOS DE PORTUGAL S A</x:v>
      </x:c>
      <x:c r="D99" s="9" t="n">
        <x:v>1</x:v>
      </x:c>
      <x:c r="E99" s="9" t="n">
        <x:v>0.23</x:v>
      </x:c>
      <x:c r="F99" s="9" t="n">
        <x:v>1.23</x:v>
      </x:c>
      <x:c r="G99" s="9" t="n">
        <x:v>1</x:v>
      </x:c>
      <x:c r="H99" s="9" t="n">
        <x:v>0.23</x:v>
      </x:c>
      <x:c r="I99" s="9" t="n">
        <x:v>1.23</x:v>
      </x:c>
      <x:c r="J99" s="9" t="n">
        <x:f>IF(H99="","",ROUND(H99-E99,2))</x:f>
        <x:v>0</x:v>
      </x:c>
    </x:row>
    <x:row r="100" ht="23" customHeight="1">
      <x:c r="A100" s="2" t="str">
        <x:v>V/Fatura FT M/2450</x:v>
      </x:c>
      <x:c r="B100" s="7" t="n">
        <x:v>46203</x:v>
      </x:c>
      <x:c r="C100" s="2" t="str">
        <x:v>LAVANDARIA BARREIROS LDA</x:v>
      </x:c>
      <x:c r="D100" s="9" t="n">
        <x:v>269.01</x:v>
      </x:c>
      <x:c r="E100" s="9" t="n">
        <x:v>61.87</x:v>
      </x:c>
      <x:c r="F100" s="9" t="n">
        <x:v>330.88</x:v>
      </x:c>
      <x:c r="G100" s="9"/>
      <x:c r="H100" s="9"/>
      <x:c r="I100" s="9"/>
      <x:c r="J100" s="9" t="str">
        <x:f>IF(H100="","",ROUND(H100-E100,2))</x:f>
      </x:c>
    </x:row>
    <x:row r="101" ht="23" customHeight="1">
      <x:c r="A101" s="2" t="str">
        <x:v>V/Fatura Recibo FT B/389</x:v>
      </x:c>
      <x:c r="B101" s="7" t="n">
        <x:v>46203</x:v>
      </x:c>
      <x:c r="C101" s="2" t="str">
        <x:v>PEDRO NUNO SIMÃO ALVES</x:v>
      </x:c>
      <x:c r="D101" s="9" t="n">
        <x:v>400</x:v>
      </x:c>
      <x:c r="E101" s="9" t="n">
        <x:v>92</x:v>
      </x:c>
      <x:c r="F101" s="9" t="n">
        <x:v>492</x:v>
      </x:c>
      <x:c r="G101" s="9" t="n">
        <x:v>400</x:v>
      </x:c>
      <x:c r="H101" s="9" t="n">
        <x:v>92</x:v>
      </x:c>
      <x:c r="I101" s="9" t="n">
        <x:v>492</x:v>
      </x:c>
      <x:c r="J101" s="9" t="n">
        <x:f>IF(H101="","",ROUND(H101-E101,2))</x:f>
        <x:v>0</x:v>
      </x:c>
    </x:row>
    <x:row r="102" ht="23" customHeight="1">
      <x:c r="A102" s="2" t="str">
        <x:v>V/Fatura ZGFF BAHK/2150766625</x:v>
      </x:c>
      <x:c r="B102" s="7" t="n">
        <x:v>46203</x:v>
      </x:c>
      <x:c r="C102" s="2" t="str">
        <x:v>PETROGAL, S.A.</x:v>
      </x:c>
      <x:c r="D102" s="9" t="n">
        <x:v>125.63</x:v>
      </x:c>
      <x:c r="E102" s="9" t="n">
        <x:v>28.89</x:v>
      </x:c>
      <x:c r="F102" s="9" t="n">
        <x:v>154.52</x:v>
      </x:c>
      <x:c r="G102" s="9" t="n">
        <x:v>140.08</x:v>
      </x:c>
      <x:c r="H102" s="9" t="n">
        <x:v>14.44</x:v>
      </x:c>
      <x:c r="I102" s="9" t="n">
        <x:v>154.52</x:v>
      </x:c>
      <x:c r="J102" s="9" t="n">
        <x:f>IF(H102="","",ROUND(H102-E102,2))</x:f>
        <x:v>-14.45</x:v>
      </x:c>
    </x:row>
    <x:row r="103" ht="23" customHeight="1">
      <x:c r="A103" s="2" t="str">
        <x:v>V/Fatura FAC 262/161</x:v>
      </x:c>
      <x:c r="B103" s="7" t="n">
        <x:v>46203</x:v>
      </x:c>
      <x:c r="C103" s="2" t="str">
        <x:v>REGRAS E VISÃO LDA</x:v>
      </x:c>
      <x:c r="D103" s="9" t="n">
        <x:v>426.67</x:v>
      </x:c>
      <x:c r="E103" s="9" t="n">
        <x:v>98.13</x:v>
      </x:c>
      <x:c r="F103" s="9" t="n">
        <x:v>524.8</x:v>
      </x:c>
      <x:c r="G103" s="9" t="n">
        <x:v>328.53</x:v>
      </x:c>
      <x:c r="H103" s="9" t="n">
        <x:v>196.27</x:v>
      </x:c>
      <x:c r="I103" s="9" t="n">
        <x:v>524.8</x:v>
      </x:c>
      <x:c r="J103" s="9" t="n">
        <x:f>IF(H103="","",ROUND(H103-E103,2))</x:f>
        <x:v>98.14</x:v>
      </x:c>
    </x:row>
    <x:row r="104" ht="23" customHeight="1">
      <x:c r="A104" s="2" t="str">
        <x:v>V/Fatura 118</x:v>
      </x:c>
      <x:c r="B104" s="7" t="n">
        <x:v>46205</x:v>
      </x:c>
      <x:c r="C104" s="2" t="str">
        <x:v>NARRATIVA INTELIGENTE LDA</x:v>
      </x:c>
      <x:c r="D104" s="9" t="n">
        <x:v>180</x:v>
      </x:c>
      <x:c r="E104" s="9" t="n">
        <x:v>41.4</x:v>
      </x:c>
      <x:c r="F104" s="9" t="n">
        <x:v>221.4</x:v>
      </x:c>
      <x:c r="G104" s="9"/>
      <x:c r="H104" s="9"/>
      <x:c r="I104" s="9"/>
      <x:c r="J104" s="9" t="str">
        <x:f>IF(H104="","",ROUND(H104-E104,2))</x:f>
      </x:c>
    </x:row>
    <x:row r="105" ht="23" customHeight="1">
      <x:c r="A105" s="2" t="str">
        <x:v>V/Fatura 11</x:v>
      </x:c>
      <x:c r="B105" s="7" t="n">
        <x:v>46206</x:v>
      </x:c>
      <x:c r="C105" s="2" t="str">
        <x:v>BICA13, Lda</x:v>
      </x:c>
      <x:c r="D105" s="9" t="n">
        <x:v>2500</x:v>
      </x:c>
      <x:c r="E105" s="9" t="n">
        <x:v>575</x:v>
      </x:c>
      <x:c r="F105" s="9" t="n">
        <x:v>3075</x:v>
      </x:c>
      <x:c r="G105" s="9"/>
      <x:c r="H105" s="9"/>
      <x:c r="I105" s="9"/>
      <x:c r="J105" s="9" t="str">
        <x:f>IF(H105="","",ROUND(H105-E105,2))</x:f>
      </x:c>
    </x:row>
    <x:row r="106" ht="23" customHeight="1">
      <x:c r="A106" s="2" t="str">
        <x:v>V/Fatura 12</x:v>
      </x:c>
      <x:c r="B106" s="7" t="n">
        <x:v>46206</x:v>
      </x:c>
      <x:c r="C106" s="2" t="str">
        <x:v>BICA13, Lda</x:v>
      </x:c>
      <x:c r="D106" s="9" t="n">
        <x:v>4700</x:v>
      </x:c>
      <x:c r="E106" s="9" t="n">
        <x:v>1081</x:v>
      </x:c>
      <x:c r="F106" s="9" t="n">
        <x:v>5781</x:v>
      </x:c>
      <x:c r="G106" s="9"/>
      <x:c r="H106" s="9"/>
      <x:c r="I106" s="9"/>
      <x:c r="J106" s="9" t="str">
        <x:f>IF(H106="","",ROUND(H106-E106,2))</x:f>
      </x:c>
    </x:row>
    <x:row r="107" ht="23" customHeight="1">
      <x:c r="A107" s="2" t="str">
        <x:v>V/Fatura 55761</x:v>
      </x:c>
      <x:c r="B107" s="7" t="n">
        <x:v>46206</x:v>
      </x:c>
      <x:c r="C107" s="2" t="str">
        <x:v>DANIFER HIGIENE INDUSTRIAL LDA</x:v>
      </x:c>
      <x:c r="D107" s="9" t="n">
        <x:v>121.6</x:v>
      </x:c>
      <x:c r="E107" s="9" t="n">
        <x:v>27.97</x:v>
      </x:c>
      <x:c r="F107" s="9" t="n">
        <x:v>149.57</x:v>
      </x:c>
      <x:c r="G107" s="9"/>
      <x:c r="H107" s="9"/>
      <x:c r="I107" s="9"/>
      <x:c r="J107" s="9" t="str">
        <x:f>IF(H107="","",ROUND(H107-E107,2))</x:f>
      </x:c>
    </x:row>
    <x:row r="108" ht="23" customHeight="1">
      <x:c r="A108" s="2" t="str">
        <x:v>V/Fatura Recibo 60</x:v>
      </x:c>
      <x:c r="B108" s="7" t="n">
        <x:v>46206</x:v>
      </x:c>
      <x:c r="C108" s="2" t="str">
        <x:v>GUILHERME SILVA E GOMES SUCRS LDA</x:v>
      </x:c>
      <x:c r="D108" s="9" t="n">
        <x:v>29.27</x:v>
      </x:c>
      <x:c r="E108" s="9" t="n">
        <x:v>6.73</x:v>
      </x:c>
      <x:c r="F108" s="9" t="n">
        <x:v>36</x:v>
      </x:c>
      <x:c r="G108" s="9"/>
      <x:c r="H108" s="9"/>
      <x:c r="I108" s="9"/>
      <x:c r="J108" s="9" t="str">
        <x:f>IF(H108="","",ROUND(H108-E108,2))</x:f>
      </x:c>
    </x:row>
    <x:row r="109" ht="23" customHeight="1">
      <x:c r="A109" s="2" t="str">
        <x:v>V/Fatura Recibo 313769</x:v>
      </x:c>
      <x:c r="B109" s="7" t="n">
        <x:v>46206</x:v>
      </x:c>
      <x:c r="C109" s="2" t="str">
        <x:v>MODELO CONTINENTE HIPERMERCADOS S A</x:v>
      </x:c>
      <x:c r="D109" s="9" t="n">
        <x:v>4.19</x:v>
      </x:c>
      <x:c r="E109" s="9" t="n">
        <x:v>0.96</x:v>
      </x:c>
      <x:c r="F109" s="9" t="n">
        <x:v>5.15</x:v>
      </x:c>
      <x:c r="G109" s="9"/>
      <x:c r="H109" s="9"/>
      <x:c r="I109" s="9"/>
      <x:c r="J109" s="9" t="str">
        <x:f>IF(H109="","",ROUND(H109-E109,2))</x:f>
      </x:c>
    </x:row>
    <x:row r="110" ht="23" customHeight="1">
      <x:c r="A110" s="2" t="str">
        <x:v>V/Fatura 30</x:v>
      </x:c>
      <x:c r="B110" s="7" t="n">
        <x:v>46206</x:v>
      </x:c>
      <x:c r="C110" s="2" t="str">
        <x:v>REAL JOBS UNIPESSOAL LDA</x:v>
      </x:c>
      <x:c r="D110" s="9" t="n">
        <x:v>500</x:v>
      </x:c>
      <x:c r="E110" s="9" t="n">
        <x:v>0</x:v>
      </x:c>
      <x:c r="F110" s="9" t="n">
        <x:v>500</x:v>
      </x:c>
      <x:c r="G110" s="9"/>
      <x:c r="H110" s="9"/>
      <x:c r="I110" s="9"/>
      <x:c r="J110" s="9" t="str">
        <x:f>IF(H110="","",ROUND(H110-E110,2))</x:f>
      </x:c>
    </x:row>
    <x:row r="111" ht="23" customHeight="1">
      <x:c r="A111" s="2" t="str">
        <x:v>V/Fatura 13</x:v>
      </x:c>
      <x:c r="B111" s="7" t="n">
        <x:v>46209</x:v>
      </x:c>
      <x:c r="C111" s="2" t="str">
        <x:v>BICA13, Lda</x:v>
      </x:c>
      <x:c r="D111" s="9" t="n">
        <x:v>7500</x:v>
      </x:c>
      <x:c r="E111" s="9" t="n">
        <x:v>1725</x:v>
      </x:c>
      <x:c r="F111" s="9" t="n">
        <x:v>9225</x:v>
      </x:c>
      <x:c r="G111" s="9"/>
      <x:c r="H111" s="9"/>
      <x:c r="I111" s="9"/>
      <x:c r="J111" s="9" t="str">
        <x:f>IF(H111="","",ROUND(H111-E111,2))</x:f>
      </x:c>
    </x:row>
    <x:row r="112" ht="23" customHeight="1">
      <x:c r="A112" s="2" t="str">
        <x:v>V/Fatura Recibo FR 2026A15/1948</x:v>
      </x:c>
      <x:c r="B112" s="7" t="n">
        <x:v>46209</x:v>
      </x:c>
      <x:c r="C112" s="2" t="str">
        <x:v>PRO EXTINT COMERCIO DE EQUIPAMENTOS DE SEGURANÇA LDA</x:v>
      </x:c>
      <x:c r="D112" s="9" t="n">
        <x:v>68.3</x:v>
      </x:c>
      <x:c r="E112" s="9" t="n">
        <x:v>15.71</x:v>
      </x:c>
      <x:c r="F112" s="9" t="n">
        <x:v>84.01</x:v>
      </x:c>
      <x:c r="G112" s="9"/>
      <x:c r="H112" s="9"/>
      <x:c r="I112" s="9"/>
      <x:c r="J112" s="9" t="str">
        <x:f>IF(H112="","",ROUND(H112-E112,2))</x:f>
      </x:c>
    </x:row>
    <x:row r="113" ht="23" customHeight="1">
      <x:c r="A113" s="2" t="str">
        <x:v>V/Fatura 55767</x:v>
      </x:c>
      <x:c r="B113" s="7" t="n">
        <x:v>46210</x:v>
      </x:c>
      <x:c r="C113" s="2" t="str">
        <x:v>DANIFER HIGIENE INDUSTRIAL LDA</x:v>
      </x:c>
      <x:c r="D113" s="9" t="n">
        <x:v>97.57</x:v>
      </x:c>
      <x:c r="E113" s="9" t="n">
        <x:v>22.44</x:v>
      </x:c>
      <x:c r="F113" s="9" t="n">
        <x:v>120.01</x:v>
      </x:c>
      <x:c r="G113" s="9"/>
      <x:c r="H113" s="9"/>
      <x:c r="I113" s="9"/>
      <x:c r="J113" s="9" t="str">
        <x:f>IF(H113="","",ROUND(H113-E113,2))</x:f>
      </x:c>
    </x:row>
    <x:row r="114" ht="23" customHeight="1">
      <x:c r="A114" s="2" t="str">
        <x:v>V/Fatura Recibo ZGEE BA1G/1996037582</x:v>
      </x:c>
      <x:c r="B114" s="7" t="n">
        <x:v>46210</x:v>
      </x:c>
      <x:c r="C114" s="2" t="str">
        <x:v>PETROGAL, S.A.</x:v>
      </x:c>
      <x:c r="D114" s="9" t="n">
        <x:v>44.1</x:v>
      </x:c>
      <x:c r="E114" s="9" t="n">
        <x:v>10.14</x:v>
      </x:c>
      <x:c r="F114" s="9" t="n">
        <x:v>54.24</x:v>
      </x:c>
      <x:c r="G114" s="9"/>
      <x:c r="H114" s="9"/>
      <x:c r="I114" s="9"/>
      <x:c r="J114" s="9" t="str">
        <x:f>IF(H114="","",ROUND(H114-E114,2))</x:f>
      </x:c>
    </x:row>
    <x:row r="115" ht="23" customHeight="1">
      <x:c r="A115" s="2" t="str">
        <x:v>V/Fatura Recibo 974</x:v>
      </x:c>
      <x:c r="B115" s="7" t="n">
        <x:v>46211</x:v>
      </x:c>
      <x:c r="C115" s="2" t="str">
        <x:v>HIGILETHES LDA</x:v>
      </x:c>
      <x:c r="D115" s="9" t="n">
        <x:v>174.87</x:v>
      </x:c>
      <x:c r="E115" s="9" t="n">
        <x:v>40.22</x:v>
      </x:c>
      <x:c r="F115" s="9" t="n">
        <x:v>215.09</x:v>
      </x:c>
      <x:c r="G115" s="9"/>
      <x:c r="H115" s="9"/>
      <x:c r="I115" s="9"/>
      <x:c r="J115" s="9" t="str">
        <x:f>IF(H115="","",ROUND(H115-E115,2))</x:f>
      </x:c>
    </x:row>
    <x:row r="116" ht="23" customHeight="1">
      <x:c r="A116" s="2" t="str">
        <x:v>V/Fatura Recibo FR AAD897/284905</x:v>
      </x:c>
      <x:c r="B116" s="7" t="n">
        <x:v>46211</x:v>
      </x:c>
      <x:c r="C116" s="2" t="str">
        <x:v>MODELO CONTINENTE HIPERMERCADOS S A</x:v>
      </x:c>
      <x:c r="D116" s="9" t="n">
        <x:v>207.15</x:v>
      </x:c>
      <x:c r="E116" s="9" t="n">
        <x:v>47.65</x:v>
      </x:c>
      <x:c r="F116" s="9" t="n">
        <x:v>254.8</x:v>
      </x:c>
      <x:c r="G116" s="9"/>
      <x:c r="H116" s="9"/>
      <x:c r="I116" s="9"/>
      <x:c r="J116" s="9" t="str">
        <x:f>IF(H116="","",ROUND(H116-E116,2))</x:f>
      </x:c>
    </x:row>
    <x:row r="117" ht="23" customHeight="1">
      <x:c r="A117" s="2" t="str">
        <x:v>V/Fatura FT 2026/31</x:v>
      </x:c>
      <x:c r="B117" s="7" t="n">
        <x:v>46211</x:v>
      </x:c>
      <x:c r="C117" s="2" t="str">
        <x:v>REAL JOBS UNIPESSOAL LDA</x:v>
      </x:c>
      <x:c r="D117" s="9" t="n">
        <x:v>250</x:v>
      </x:c>
      <x:c r="E117" s="9" t="n">
        <x:v>0</x:v>
      </x:c>
      <x:c r="F117" s="9" t="n">
        <x:v>250</x:v>
      </x:c>
      <x:c r="G117" s="9"/>
      <x:c r="H117" s="9"/>
      <x:c r="I117" s="9"/>
      <x:c r="J117" s="9" t="str">
        <x:f>IF(H117="","",ROUND(H117-E117,2))</x:f>
      </x:c>
    </x:row>
    <x:row r="118" ht="23" customHeight="1">
      <x:c r="A118" s="2" t="str">
        <x:v>V/Fatura Recibo ZOCF BT24/0120076135</x:v>
      </x:c>
      <x:c r="B118" s="7" t="n">
        <x:v>46212</x:v>
      </x:c>
      <x:c r="C118" s="2" t="str">
        <x:v>JYSK UNIPESSOAL LDA</x:v>
      </x:c>
      <x:c r="D118" s="9" t="n">
        <x:v>239.83</x:v>
      </x:c>
      <x:c r="E118" s="9" t="n">
        <x:v>55.16</x:v>
      </x:c>
      <x:c r="F118" s="9" t="n">
        <x:v>294.99</x:v>
      </x:c>
      <x:c r="G118" s="9"/>
      <x:c r="H118" s="9"/>
      <x:c r="I118" s="9"/>
      <x:c r="J118" s="9" t="str">
        <x:f>IF(H118="","",ROUND(H118-E118,2))</x:f>
      </x:c>
    </x:row>
    <x:row r="119" ht="23" customHeight="1">
      <x:c r="A119" s="2" t="str">
        <x:v>V/Fatura Recibo FR A/9630</x:v>
      </x:c>
      <x:c r="B119" s="7" t="n">
        <x:v>46217</x:v>
      </x:c>
      <x:c r="C119" s="2" t="str">
        <x:v>PERIPLUS, LDA</x:v>
      </x:c>
      <x:c r="D119" s="9" t="n">
        <x:v>296</x:v>
      </x:c>
      <x:c r="E119" s="9" t="n">
        <x:v>68.08</x:v>
      </x:c>
      <x:c r="F119" s="9" t="n">
        <x:v>364.08</x:v>
      </x:c>
      <x:c r="G119" s="9"/>
      <x:c r="H119" s="9"/>
      <x:c r="I119" s="9"/>
      <x:c r="J119" s="9" t="str">
        <x:f>IF(H119="","",ROUND(H119-E119,2))</x:f>
      </x:c>
    </x:row>
    <x:row r="120" ht="23" customHeight="1">
      <x:c r="A120" s="2" t="str">
        <x:v>V/Fatura FT 2026/33</x:v>
      </x:c>
      <x:c r="B120" s="7" t="n">
        <x:v>46217</x:v>
      </x:c>
      <x:c r="C120" s="2" t="str">
        <x:v>REAL JOBS UNIPESSOAL LDA</x:v>
      </x:c>
      <x:c r="D120" s="9" t="n">
        <x:v>2250</x:v>
      </x:c>
      <x:c r="E120" s="9" t="n">
        <x:v>517.5</x:v>
      </x:c>
      <x:c r="F120" s="9" t="n">
        <x:v>2767.5</x:v>
      </x:c>
      <x:c r="G120" s="9"/>
      <x:c r="H120" s="9"/>
      <x:c r="I120" s="9"/>
      <x:c r="J120" s="9" t="str">
        <x:f>IF(H120="","",ROUND(H120-E120,2))</x:f>
      </x:c>
    </x:row>
    <x:row r="121" ht="23" customHeight="1">
      <x:c r="A121" s="2" t="str">
        <x:v>V/Fatura ZGFF BAHK/2150772461</x:v>
      </x:c>
      <x:c r="B121" s="7" t="n">
        <x:v>46218</x:v>
      </x:c>
      <x:c r="C121" s="2" t="str">
        <x:v>PETROGAL, S.A.</x:v>
      </x:c>
      <x:c r="D121" s="9" t="n">
        <x:v>204.38</x:v>
      </x:c>
      <x:c r="E121" s="9" t="n">
        <x:v>47.01</x:v>
      </x:c>
      <x:c r="F121" s="9" t="n">
        <x:v>251.39</x:v>
      </x:c>
      <x:c r="G121" s="9"/>
      <x:c r="H121" s="9"/>
      <x:c r="I121" s="9"/>
      <x:c r="J121" s="9" t="str">
        <x:f>IF(H121="","",ROUND(H121-E121,2))</x:f>
      </x:c>
    </x:row>
    <x:row r="122" ht="23" customHeight="1">
      <x:c r="A122" s="2" t="str">
        <x:v>V/Fatura 195</x:v>
      </x:c>
      <x:c r="B122" s="7" t="n">
        <x:v>46218</x:v>
      </x:c>
      <x:c r="C122" s="2" t="str">
        <x:v>REGRAS E VISÃO LDA</x:v>
      </x:c>
      <x:c r="D122" s="9" t="n">
        <x:v>398.93</x:v>
      </x:c>
      <x:c r="E122" s="9" t="n">
        <x:v>91.75</x:v>
      </x:c>
      <x:c r="F122" s="9" t="n">
        <x:v>490.68</x:v>
      </x:c>
      <x:c r="G122" s="9"/>
      <x:c r="H122" s="9"/>
      <x:c r="I122" s="9"/>
      <x:c r="J122" s="9" t="str">
        <x:f>IF(H122="","",ROUND(H122-E122,2))</x:f>
      </x:c>
    </x:row>
    <x:row r="123" ht="23" customHeight="1">
      <x:c r="A123" s="2" t="str">
        <x:v>V/Fatura FT FA.2026K/76</x:v>
      </x:c>
      <x:c r="B123" s="7" t="n">
        <x:v>46221</x:v>
      </x:c>
      <x:c r="C123" s="2" t="str">
        <x:v>EASYWASH UNIPESSOAL, LDA</x:v>
      </x:c>
      <x:c r="D123" s="9" t="n">
        <x:v>1027.14</x:v>
      </x:c>
      <x:c r="E123" s="9" t="n">
        <x:v>236.24</x:v>
      </x:c>
      <x:c r="F123" s="9" t="n">
        <x:v>1263.38</x:v>
      </x:c>
      <x:c r="G123" s="9"/>
      <x:c r="H123" s="9"/>
      <x:c r="I123" s="9"/>
      <x:c r="J123" s="9" t="str">
        <x:f>IF(H123="","",ROUND(H123-E123,2))</x:f>
      </x:c>
    </x:row>
    <x:row r="124" ht="23" customHeight="1">
      <x:c r="A124" s="2" t="str">
        <x:v>V/Fatura FT 101/117689226</x:v>
      </x:c>
      <x:c r="B124" s="7" t="n">
        <x:v>46221</x:v>
      </x:c>
      <x:c r="C124" s="2" t="str">
        <x:v>VODAFONE PORTUGAL - COMUNICAÇÕES PESSOAIS S A</x:v>
      </x:c>
      <x:c r="D124" s="9" t="n">
        <x:v>34.55</x:v>
      </x:c>
      <x:c r="E124" s="9" t="n">
        <x:v>7.95</x:v>
      </x:c>
      <x:c r="F124" s="9" t="n">
        <x:v>42.5</x:v>
      </x:c>
      <x:c r="G124" s="9"/>
      <x:c r="H124" s="9"/>
      <x:c r="I124" s="9"/>
      <x:c r="J124" s="9" t="str">
        <x:f>IF(H124="","",ROUND(H124-E124,2))</x:f>
      </x:c>
    </x:row>
    <x:row r="125" ht="23" customHeight="1">
      <x:c r="A125" s="2" t="str">
        <x:v>V/Fatura Recibo 234131</x:v>
      </x:c>
      <x:c r="B125" s="7" t="n">
        <x:v>46224</x:v>
      </x:c>
      <x:c r="C125" s="2" t="str">
        <x:v>OCEANO PERFUMADO LDA</x:v>
      </x:c>
      <x:c r="D125" s="9" t="n">
        <x:v>5.6</x:v>
      </x:c>
      <x:c r="E125" s="9" t="n">
        <x:v>1.29</x:v>
      </x:c>
      <x:c r="F125" s="9" t="n">
        <x:v>6.89</x:v>
      </x:c>
      <x:c r="G125" s="9"/>
      <x:c r="H125" s="9"/>
      <x:c r="I125" s="9"/>
      <x:c r="J125" s="9" t="str">
        <x:f>IF(H125="","",ROUND(H125-E125,2))</x:f>
      </x:c>
    </x:row>
    <x:row r="126" ht="23" customHeight="1">
      <x:c r="A126" s="2" t="str">
        <x:v>V/Fatura Recibo FR 2026A15/2147</x:v>
      </x:c>
      <x:c r="B126" s="7" t="n">
        <x:v>46224</x:v>
      </x:c>
      <x:c r="C126" s="2" t="str">
        <x:v>PRO EXTINT COMERCIO DE EQUIPAMENTOS DE SEGURANÇA LDA</x:v>
      </x:c>
      <x:c r="D126" s="9" t="n">
        <x:v>324.2</x:v>
      </x:c>
      <x:c r="E126" s="9" t="n">
        <x:v>74.57</x:v>
      </x:c>
      <x:c r="F126" s="9" t="n">
        <x:v>398.77</x:v>
      </x:c>
      <x:c r="G126" s="9"/>
      <x:c r="H126" s="9"/>
      <x:c r="I126" s="9"/>
      <x:c r="J126" s="9" t="str">
        <x:f>IF(H126="","",ROUND(H126-E126,2))</x:f>
      </x:c>
    </x:row>
    <x:row r="127" ht="23" customHeight="1">
      <x:c r="A127" s="2" t="str">
        <x:v>V/Fatura FT 2026/35</x:v>
      </x:c>
      <x:c r="B127" s="7" t="n">
        <x:v>46224</x:v>
      </x:c>
      <x:c r="C127" s="2" t="str">
        <x:v>REAL JOBS UNIPESSOAL LDA</x:v>
      </x:c>
      <x:c r="D127" s="9" t="n">
        <x:v>505</x:v>
      </x:c>
      <x:c r="E127" s="9" t="n">
        <x:v>116.15</x:v>
      </x:c>
      <x:c r="F127" s="9" t="n">
        <x:v>621.15</x:v>
      </x:c>
      <x:c r="G127" s="9"/>
      <x:c r="H127" s="9"/>
      <x:c r="I127" s="9"/>
      <x:c r="J127" s="9" t="str">
        <x:f>IF(H127="","",ROUND(H127-E127,2))</x:f>
      </x:c>
    </x:row>
    <x:row r="128" ht="23" customHeight="1">
      <x:c r="A128" s="2" t="str">
        <x:v>V/Fatura FT 2026/111</x:v>
      </x:c>
      <x:c r="B128" s="7" t="n">
        <x:v>46225</x:v>
      </x:c>
      <x:c r="C128" s="2" t="str">
        <x:v>JORGE GONÇALVES PEREIRA UNIPESSOAL LDA</x:v>
      </x:c>
      <x:c r="D128" s="9" t="n">
        <x:v>145</x:v>
      </x:c>
      <x:c r="E128" s="9" t="n">
        <x:v>33.35</x:v>
      </x:c>
      <x:c r="F128" s="9" t="n">
        <x:v>178.35</x:v>
      </x:c>
      <x:c r="G128" s="9"/>
      <x:c r="H128" s="9"/>
      <x:c r="I128" s="9"/>
      <x:c r="J128" s="9" t="str">
        <x:f>IF(H128="","",ROUND(H128-E128,2))</x:f>
      </x:c>
    </x:row>
    <x:row r="129" ht="23" customHeight="1">
      <x:c r="A129" s="2" t="str">
        <x:v>V/Fatura Recibo FT 101/00031839</x:v>
      </x:c>
      <x:c r="B129" s="7" t="n">
        <x:v>46225</x:v>
      </x:c>
      <x:c r="C129" s="2" t="str">
        <x:v>LUA MUSCULADA LDA</x:v>
      </x:c>
      <x:c r="D129" s="9" t="n">
        <x:v>6.18</x:v>
      </x:c>
      <x:c r="E129" s="9" t="n">
        <x:v>1.42</x:v>
      </x:c>
      <x:c r="F129" s="9" t="n">
        <x:v>7.6</x:v>
      </x:c>
      <x:c r="G129" s="9"/>
      <x:c r="H129" s="9"/>
      <x:c r="I129" s="9"/>
      <x:c r="J129" s="9" t="str">
        <x:f>IF(H129="","",ROUND(H129-E129,2))</x:f>
      </x:c>
    </x:row>
    <x:row r="130" ht="23" customHeight="1">
      <x:c r="A130" s="2" t="str">
        <x:v>V/Fatura Recibo FT A/871331666</x:v>
      </x:c>
      <x:c r="B130" s="7" t="n">
        <x:v>46226</x:v>
      </x:c>
      <x:c r="C130" s="2" t="str">
        <x:v>MEO - SERVIÇOS DE COMUNICAÇÕES E MULTIMÉDIA S.A.</x:v>
      </x:c>
      <x:c r="D130" s="9" t="n">
        <x:v>375.47</x:v>
      </x:c>
      <x:c r="E130" s="9" t="n">
        <x:v>86.36</x:v>
      </x:c>
      <x:c r="F130" s="9" t="n">
        <x:v>461.83</x:v>
      </x:c>
      <x:c r="G130" s="9"/>
      <x:c r="H130" s="9"/>
      <x:c r="I130" s="9"/>
      <x:c r="J130" s="9" t="str">
        <x:f>IF(H130="","",ROUND(H130-E130,2))</x:f>
      </x:c>
    </x:row>
    <x:row r="131" ht="23" customHeight="1">
      <x:c r="A131" s="2" t="str">
        <x:v>V/Fatura Recibo FT 101/118078044</x:v>
      </x:c>
      <x:c r="B131" s="7" t="n">
        <x:v>46228</x:v>
      </x:c>
      <x:c r="C131" s="2" t="str">
        <x:v>VODAFONE PORTUGAL - COMUNICAÇÕES PESSOAIS S A</x:v>
      </x:c>
      <x:c r="D131" s="9" t="n">
        <x:v>199.56</x:v>
      </x:c>
      <x:c r="E131" s="9" t="n">
        <x:v>45.9</x:v>
      </x:c>
      <x:c r="F131" s="9" t="n">
        <x:v>245.46</x:v>
      </x:c>
      <x:c r="G131" s="9"/>
      <x:c r="H131" s="9"/>
      <x:c r="I131" s="9"/>
      <x:c r="J131" s="9" t="str">
        <x:f>IF(H131="","",ROUND(H131-E131,2))</x:f>
      </x:c>
    </x:row>
    <x:row r="132" ht="23" customHeight="1">
      <x:c r="A132" s="2" t="str">
        <x:v>V/Fatura Recibo 418</x:v>
      </x:c>
      <x:c r="B132" s="7" t="n">
        <x:v>46230</x:v>
      </x:c>
      <x:c r="C132" s="2" t="str">
        <x:v>FERNANDO AUGUSTO PORTELA SIMÕES</x:v>
      </x:c>
      <x:c r="D132" s="9" t="n">
        <x:v>3.25</x:v>
      </x:c>
      <x:c r="E132" s="9" t="n">
        <x:v>0.75</x:v>
      </x:c>
      <x:c r="F132" s="9" t="n">
        <x:v>4</x:v>
      </x:c>
      <x:c r="G132" s="9"/>
      <x:c r="H132" s="9"/>
      <x:c r="I132" s="9"/>
      <x:c r="J132" s="9" t="str">
        <x:f>IF(H132="","",ROUND(H132-E132,2))</x:f>
      </x:c>
    </x:row>
    <x:row r="133" ht="23" customHeight="1">
      <x:c r="A133" s="2" t="str">
        <x:v>V/Fatura Recibo 062943</x:v>
      </x:c>
      <x:c r="B133" s="7" t="n">
        <x:v>46231</x:v>
      </x:c>
      <x:c r="C133" s="2" t="str">
        <x:v>IRMÃDONA SUPERMERCADOS, UNIPESSOAL, LDA.</x:v>
      </x:c>
      <x:c r="D133" s="9" t="n">
        <x:v>14.67</x:v>
      </x:c>
      <x:c r="E133" s="9" t="n">
        <x:v>3.38</x:v>
      </x:c>
      <x:c r="F133" s="9" t="n">
        <x:v>18.05</x:v>
      </x:c>
      <x:c r="G133" s="9"/>
      <x:c r="H133" s="9"/>
      <x:c r="I133" s="9"/>
      <x:c r="J133" s="9" t="str">
        <x:f>IF(H133="","",ROUND(H133-E133,2))</x:f>
      </x:c>
    </x:row>
    <x:row r="134" ht="23" customHeight="1">
      <x:c r="A134" s="2" t="str">
        <x:v>V/Fatura FT 2026/58</x:v>
      </x:c>
      <x:c r="B134" s="7" t="n">
        <x:v>46231</x:v>
      </x:c>
      <x:c r="C134" s="2" t="str">
        <x:v>Main Place, Unip., Lda.</x:v>
      </x:c>
      <x:c r="D134" s="9" t="n">
        <x:v>495</x:v>
      </x:c>
      <x:c r="E134" s="9" t="n">
        <x:v>113.85</x:v>
      </x:c>
      <x:c r="F134" s="9" t="n">
        <x:v>608.85</x:v>
      </x:c>
      <x:c r="G134" s="9"/>
      <x:c r="H134" s="9"/>
      <x:c r="I134" s="9"/>
      <x:c r="J134" s="9" t="str">
        <x:f>IF(H134="","",ROUND(H134-E134,2))</x:f>
      </x:c>
    </x:row>
    <x:row r="135" ht="23" customHeight="1">
      <x:c r="A135" s="2" t="str">
        <x:v>V/Fatura Recibo FS EAF001/236294</x:v>
      </x:c>
      <x:c r="B135" s="7" t="n">
        <x:v>46233</x:v>
      </x:c>
      <x:c r="C135" s="2" t="str">
        <x:v>OCEANO PERFUMADO LDA</x:v>
      </x:c>
      <x:c r="D135" s="9" t="n">
        <x:v>12.2</x:v>
      </x:c>
      <x:c r="E135" s="9" t="n">
        <x:v>2.81</x:v>
      </x:c>
      <x:c r="F135" s="9" t="n">
        <x:v>15.01</x:v>
      </x:c>
      <x:c r="G135" s="9"/>
      <x:c r="H135" s="9"/>
      <x:c r="I135" s="9"/>
      <x:c r="J135" s="9" t="str">
        <x:f>IF(H135="","",ROUND(H135-E135,2))</x:f>
      </x:c>
    </x:row>
    <x:row r="136" ht="23" customHeight="1">
      <x:c r="A136" s="2" t="str">
        <x:v>V/Fatura FT FA.2026K/80</x:v>
      </x:c>
      <x:c r="B136" s="7" t="n">
        <x:v>46234</x:v>
      </x:c>
      <x:c r="C136" s="2" t="str">
        <x:v>EASYWASH UNIPESSOAL, LDA</x:v>
      </x:c>
      <x:c r="D136" s="9" t="n">
        <x:v>925.19</x:v>
      </x:c>
      <x:c r="E136" s="9" t="n">
        <x:v>212.79</x:v>
      </x:c>
      <x:c r="F136" s="9" t="n">
        <x:v>1137.98</x:v>
      </x:c>
      <x:c r="G136" s="9"/>
      <x:c r="H136" s="9"/>
      <x:c r="I136" s="9"/>
      <x:c r="J136" s="9" t="str">
        <x:f>IF(H136="","",ROUND(H136-E136,2))</x:f>
      </x:c>
    </x:row>
    <x:row r="137" ht="23" customHeight="1">
      <x:c r="A137" s="2" t="str">
        <x:v>V/Fatura FT FA.2026L/12</x:v>
      </x:c>
      <x:c r="B137" s="7" t="n">
        <x:v>46234</x:v>
      </x:c>
      <x:c r="C137" s="2" t="str">
        <x:v>EASYWASH UNIPESSOAL, LDA</x:v>
      </x:c>
      <x:c r="D137" s="9" t="n">
        <x:v>36</x:v>
      </x:c>
      <x:c r="E137" s="9" t="n">
        <x:v>8.28</x:v>
      </x:c>
      <x:c r="F137" s="9" t="n">
        <x:v>44.28</x:v>
      </x:c>
      <x:c r="G137" s="9"/>
      <x:c r="H137" s="9"/>
      <x:c r="I137" s="9"/>
      <x:c r="J137" s="9" t="str">
        <x:f>IF(H137="","",ROUND(H137-E137,2))</x:f>
      </x:c>
    </x:row>
    <x:row r="138" ht="23" customHeight="1">
      <x:c r="A138" s="2" t="str">
        <x:v>V/Fatura Recibo FR ATSIRE01FR/23</x:v>
      </x:c>
      <x:c r="B138" s="7" t="n">
        <x:v>46234</x:v>
      </x:c>
      <x:c r="C138" s="2" t="str">
        <x:v>HUGO FILIPE SIMÃO ALVES</x:v>
      </x:c>
      <x:c r="D138" s="9" t="n">
        <x:v>1200</x:v>
      </x:c>
      <x:c r="E138" s="9" t="n">
        <x:v>276</x:v>
      </x:c>
      <x:c r="F138" s="9" t="n">
        <x:v>1476</x:v>
      </x:c>
      <x:c r="G138" s="9"/>
      <x:c r="H138" s="9"/>
      <x:c r="I138" s="9"/>
      <x:c r="J138" s="9" t="str">
        <x:f>IF(H138="","",ROUND(H138-E138,2))</x:f>
      </x:c>
    </x:row>
    <x:row r="139" ht="23" customHeight="1">
      <x:c r="A139" s="2" t="str">
        <x:v>V/Fatura FT M/2466</x:v>
      </x:c>
      <x:c r="B139" s="7" t="n">
        <x:v>46234</x:v>
      </x:c>
      <x:c r="C139" s="2" t="str">
        <x:v>LAVANDARIA BARREIROS LDA</x:v>
      </x:c>
      <x:c r="D139" s="9" t="n">
        <x:v>776.84</x:v>
      </x:c>
      <x:c r="E139" s="9" t="n">
        <x:v>178.67</x:v>
      </x:c>
      <x:c r="F139" s="9" t="n">
        <x:v>955.51</x:v>
      </x:c>
      <x:c r="G139" s="9"/>
      <x:c r="H139" s="9"/>
      <x:c r="I139" s="9"/>
      <x:c r="J139" s="9" t="str">
        <x:f>IF(H139="","",ROUND(H139-E139,2))</x:f>
      </x:c>
    </x:row>
    <x:row r="140" ht="23" customHeight="1">
      <x:c r="A140" s="2" t="str">
        <x:v>V/Fatura FT M/2470</x:v>
      </x:c>
      <x:c r="B140" s="7" t="n">
        <x:v>46234</x:v>
      </x:c>
      <x:c r="C140" s="2" t="str">
        <x:v>LAVANDARIA BARREIROS LDA</x:v>
      </x:c>
      <x:c r="D140" s="9" t="n">
        <x:v>355.02</x:v>
      </x:c>
      <x:c r="E140" s="9" t="n">
        <x:v>81.65</x:v>
      </x:c>
      <x:c r="F140" s="9" t="n">
        <x:v>436.67</x:v>
      </x:c>
      <x:c r="G140" s="9"/>
      <x:c r="H140" s="9"/>
      <x:c r="I140" s="9"/>
      <x:c r="J140" s="9" t="str">
        <x:f>IF(H140="","",ROUND(H140-E140,2))</x:f>
      </x:c>
    </x:row>
    <x:row r="141" ht="23" customHeight="1">
      <x:c r="A141" s="2" t="str">
        <x:v>V/Fatura 5</x:v>
      </x:c>
      <x:c r="B141" s="7" t="n">
        <x:v>46234</x:v>
      </x:c>
      <x:c r="C141" s="2" t="str">
        <x:v>PEDRO NUNO SIMÃO ALVES</x:v>
      </x:c>
      <x:c r="D141" s="9" t="n">
        <x:v>400</x:v>
      </x:c>
      <x:c r="E141" s="9" t="n">
        <x:v>92</x:v>
      </x:c>
      <x:c r="F141" s="9" t="n">
        <x:v>492</x:v>
      </x:c>
      <x:c r="G141" s="9"/>
      <x:c r="H141" s="9"/>
      <x:c r="I141" s="9"/>
      <x:c r="J141" s="9" t="str">
        <x:f>IF(H141="","",ROUND(H141-E141,2))</x:f>
      </x:c>
    </x:row>
    <x:row r="142" ht="23" customHeight="1">
      <x:c r="A142" s="2" t="str">
        <x:v>V/Fatura Recibo FR Q26/1523919</x:v>
      </x:c>
      <x:c r="B142" s="7" t="n">
        <x:v>46235</x:v>
      </x:c>
      <x:c r="C142" s="2" t="str">
        <x:v>SECURITAS DIRECT PORTUGAL UNIPESSOAL LDA</x:v>
      </x:c>
      <x:c r="D142" s="9" t="n">
        <x:v>38</x:v>
      </x:c>
      <x:c r="E142" s="9" t="n">
        <x:v>8.74</x:v>
      </x:c>
      <x:c r="F142" s="9" t="n">
        <x:v>46.74</x:v>
      </x:c>
      <x:c r="G142" s="9"/>
      <x:c r="H142" s="9"/>
      <x:c r="I142" s="9"/>
      <x:c r="J142" s="9" t="str">
        <x:f>IF(H142="","",ROUND(H142-E142,2))</x:f>
      </x:c>
    </x:row>
    <x:row r="143" ht="23" customHeight="1">
      <x:c r="A143" s="2" t="str">
        <x:v>V/Fatura Recibo 0133152</x:v>
      </x:c>
      <x:c r="B143" s="7" t="n">
        <x:v>46236</x:v>
      </x:c>
      <x:c r="C143" s="2" t="str">
        <x:v>SPDAD SOC PORTUGUESA DE DISTRIBUIÇÃO DE ARTIGOS DE DESP</x:v>
      </x:c>
      <x:c r="D143" s="9" t="n">
        <x:v>20.24</x:v>
      </x:c>
      <x:c r="E143" s="9" t="n">
        <x:v>4.66</x:v>
      </x:c>
      <x:c r="F143" s="9" t="n">
        <x:v>24.9</x:v>
      </x:c>
      <x:c r="G143" s="9"/>
      <x:c r="H143" s="9"/>
      <x:c r="I143" s="9"/>
      <x:c r="J143" s="9" t="str">
        <x:f>IF(H143="","",ROUND(H143-E143,2))</x:f>
      </x:c>
    </x:row>
    <x:row r="144" ht="23" customHeight="1">
      <x:c r="A144" s="2" t="str">
        <x:v>V/Fatura FT 2026/37</x:v>
      </x:c>
      <x:c r="B144" s="7" t="n">
        <x:v>46237</x:v>
      </x:c>
      <x:c r="C144" s="2" t="str">
        <x:v>REAL JOBS UNIPESSOAL LDA</x:v>
      </x:c>
      <x:c r="D144" s="9" t="n">
        <x:v>680</x:v>
      </x:c>
      <x:c r="E144" s="9" t="n">
        <x:v>156.4</x:v>
      </x:c>
      <x:c r="F144" s="9" t="n">
        <x:v>836.4</x:v>
      </x:c>
      <x:c r="G144" s="9"/>
      <x:c r="H144" s="9"/>
      <x:c r="I144" s="9"/>
      <x:c r="J144" s="9" t="str">
        <x:f>IF(H144="","",ROUND(H144-E144,2))</x:f>
      </x:c>
    </x:row>
    <x:row r="145" ht="23" customHeight="1">
      <x:c r="A145" s="2" t="str">
        <x:v>V/Fatura FT 101/118465834</x:v>
      </x:c>
      <x:c r="B145" s="7" t="n">
        <x:v>46237</x:v>
      </x:c>
      <x:c r="C145" s="2" t="str">
        <x:v>VODAFONE PORTUGAL - COMUNICAÇÕES PESSOAIS S A</x:v>
      </x:c>
      <x:c r="D145" s="9" t="n">
        <x:v>34.55</x:v>
      </x:c>
      <x:c r="E145" s="9" t="n">
        <x:v>7.95</x:v>
      </x:c>
      <x:c r="F145" s="9" t="n">
        <x:v>42.5</x:v>
      </x:c>
      <x:c r="G145" s="9"/>
      <x:c r="H145" s="9"/>
      <x:c r="I145" s="9"/>
      <x:c r="J145" s="9" t="str">
        <x:f>IF(H145="","",ROUND(H145-E145,2))</x:f>
      </x:c>
    </x:row>
    <x:row r="146" ht="23" customHeight="1">
      <x:c r="A146" s="2" t="str">
        <x:v>V/Fatura FT 101/118465916</x:v>
      </x:c>
      <x:c r="B146" s="7" t="n">
        <x:v>46237</x:v>
      </x:c>
      <x:c r="C146" s="2" t="str">
        <x:v>VODAFONE PORTUGAL - COMUNICAÇÕES PESSOAIS S A</x:v>
      </x:c>
      <x:c r="D146" s="9" t="n">
        <x:v>34.55</x:v>
      </x:c>
      <x:c r="E146" s="9" t="n">
        <x:v>7.95</x:v>
      </x:c>
      <x:c r="F146" s="9" t="n">
        <x:v>42.5</x:v>
      </x:c>
      <x:c r="G146" s="9"/>
      <x:c r="H146" s="9"/>
      <x:c r="I146" s="9"/>
      <x:c r="J146" s="9" t="str">
        <x:f>IF(H146="","",ROUND(H146-E146,2))</x:f>
      </x:c>
    </x:row>
    <x:row r="147" ht="23" customHeight="1">
      <x:c r="A147" s="2" t="str">
        <x:v>V/Fatura Recibo 359979</x:v>
      </x:c>
      <x:c r="B147" s="7" t="n">
        <x:v>46238</x:v>
      </x:c>
      <x:c r="C147" s="2" t="str">
        <x:v>IKEA PORTUGAL MOVEIS E DECORAÇÃO LDA</x:v>
      </x:c>
      <x:c r="D147" s="9" t="n">
        <x:v>502.44</x:v>
      </x:c>
      <x:c r="E147" s="9" t="n">
        <x:v>115.56</x:v>
      </x:c>
      <x:c r="F147" s="9" t="n">
        <x:v>618</x:v>
      </x:c>
      <x:c r="G147" s="9"/>
      <x:c r="H147" s="9"/>
      <x:c r="I147" s="9"/>
      <x:c r="J147" s="9" t="str">
        <x:f>IF(H147="","",ROUND(H147-E147,2))</x:f>
      </x:c>
    </x:row>
    <x:row r="148" ht="23" customHeight="1">
      <x:c r="A148" s="2" t="str">
        <x:v>V/Fatura Recibo 00018318</x:v>
      </x:c>
      <x:c r="B148" s="7" t="n">
        <x:v>46238</x:v>
      </x:c>
      <x:c r="C148" s="2" t="str">
        <x:v>Xiaoyan Ying</x:v>
      </x:c>
      <x:c r="D148" s="9" t="n">
        <x:v>24.39</x:v>
      </x:c>
      <x:c r="E148" s="9" t="n">
        <x:v>5.61</x:v>
      </x:c>
      <x:c r="F148" s="9" t="n">
        <x:v>30</x:v>
      </x:c>
      <x:c r="G148" s="9"/>
      <x:c r="H148" s="9"/>
      <x:c r="I148" s="9"/>
      <x:c r="J148" s="9" t="str">
        <x:f>IF(H148="","",ROUND(H148-E148,2))</x:f>
      </x:c>
    </x:row>
    <x:row r="149" ht="23" customHeight="1">
      <x:c r="A149" s="2" t="str">
        <x:v>V/Fatura 1023</x:v>
      </x:c>
      <x:c r="B149" s="7" t="n">
        <x:v>46239</x:v>
      </x:c>
      <x:c r="C149" s="2" t="str">
        <x:v>BBDOURO - UNIPESSOAL LDA</x:v>
      </x:c>
      <x:c r="D149" s="9" t="n">
        <x:v>243.9</x:v>
      </x:c>
      <x:c r="E149" s="9" t="n">
        <x:v>56.1</x:v>
      </x:c>
      <x:c r="F149" s="9" t="n">
        <x:v>300</x:v>
      </x:c>
      <x:c r="G149" s="9"/>
      <x:c r="H149" s="9"/>
      <x:c r="I149" s="9"/>
      <x:c r="J149" s="9" t="str">
        <x:f>IF(H149="","",ROUND(H149-E149,2))</x:f>
      </x:c>
    </x:row>
    <x:row r="150" ht="23" customHeight="1">
      <x:c r="A150" s="2" t="str">
        <x:v>V/Fatura 1024</x:v>
      </x:c>
      <x:c r="B150" s="7" t="n">
        <x:v>46239</x:v>
      </x:c>
      <x:c r="C150" s="2" t="str">
        <x:v>BBDOURO - UNIPESSOAL LDA</x:v>
      </x:c>
      <x:c r="D150" s="9" t="n">
        <x:v>243.9</x:v>
      </x:c>
      <x:c r="E150" s="9" t="n">
        <x:v>56.1</x:v>
      </x:c>
      <x:c r="F150" s="9" t="n">
        <x:v>300</x:v>
      </x:c>
      <x:c r="G150" s="9"/>
      <x:c r="H150" s="9"/>
      <x:c r="I150" s="9"/>
      <x:c r="J150" s="9" t="str">
        <x:f>IF(H150="","",ROUND(H150-E150,2))</x:f>
      </x:c>
    </x:row>
    <x:row r="151" ht="23" customHeight="1">
      <x:c r="A151" s="2" t="str">
        <x:v>V/Fatura Recibo 1544995</x:v>
      </x:c>
      <x:c r="B151" s="7" t="n">
        <x:v>46239</x:v>
      </x:c>
      <x:c r="C151" s="2" t="str">
        <x:v>CHAVES BONJARDIM - COMERCIO DE CHAVES, UNIPESSOAL LDA</x:v>
      </x:c>
      <x:c r="D151" s="9" t="n">
        <x:v>3.25</x:v>
      </x:c>
      <x:c r="E151" s="9" t="n">
        <x:v>0.75</x:v>
      </x:c>
      <x:c r="F151" s="9" t="n">
        <x:v>4</x:v>
      </x:c>
      <x:c r="G151" s="9"/>
      <x:c r="H151" s="9"/>
      <x:c r="I151" s="9"/>
      <x:c r="J151" s="9" t="str">
        <x:f>IF(H151="","",ROUND(H151-E151,2))</x:f>
      </x:c>
    </x:row>
    <x:row r="152" ht="23" customHeight="1">
      <x:c r="A152" s="2" t="str">
        <x:v>V/Fatura Recibo 0000024525</x:v>
      </x:c>
      <x:c r="B152" s="7" t="n">
        <x:v>46241</x:v>
      </x:c>
      <x:c r="C152" s="2" t="str">
        <x:v>RECHEIO - CASH &amp; CARRY S A</x:v>
      </x:c>
      <x:c r="D152" s="9" t="n">
        <x:v>157.95</x:v>
      </x:c>
      <x:c r="E152" s="9" t="n">
        <x:v>36.33</x:v>
      </x:c>
      <x:c r="F152" s="9" t="n">
        <x:v>194.28</x:v>
      </x:c>
      <x:c r="G152" s="9"/>
      <x:c r="H152" s="9"/>
      <x:c r="I152" s="9"/>
      <x:c r="J152" s="9" t="str">
        <x:f>IF(H152="","",ROUND(H152-E152,2))</x:f>
      </x:c>
    </x:row>
    <x:row r="153" ht="23" customHeight="1">
      <x:c r="A153" s="2" t="str">
        <x:v>V/Fatura Recibo FT 2026/40</x:v>
      </x:c>
      <x:c r="B153" s="7" t="n">
        <x:v>46244</x:v>
      </x:c>
      <x:c r="C153" s="2" t="str">
        <x:v>REAL JOBS UNIPESSOAL LDA</x:v>
      </x:c>
      <x:c r="D153" s="9" t="n">
        <x:v>470</x:v>
      </x:c>
      <x:c r="E153" s="9" t="n">
        <x:v>108.1</x:v>
      </x:c>
      <x:c r="F153" s="9" t="n">
        <x:v>578.1</x:v>
      </x:c>
      <x:c r="G153" s="9"/>
      <x:c r="H153" s="9"/>
      <x:c r="I153" s="9"/>
      <x:c r="J153" s="9" t="str">
        <x:f>IF(H153="","",ROUND(H153-E153,2))</x:f>
      </x:c>
    </x:row>
    <x:row r="154" ht="23" customHeight="1">
      <x:c r="A154" s="2" t="str">
        <x:v>V/Fatura FT 2026/127</x:v>
      </x:c>
      <x:c r="B154" s="7" t="n">
        <x:v>46245</x:v>
      </x:c>
      <x:c r="C154" s="2" t="str">
        <x:v>JORGE GONÇALVES PEREIRA UNIPESSOAL LDA</x:v>
      </x:c>
      <x:c r="D154" s="9" t="n">
        <x:v>95.53</x:v>
      </x:c>
      <x:c r="E154" s="9" t="n">
        <x:v>21.97</x:v>
      </x:c>
      <x:c r="F154" s="9" t="n">
        <x:v>117.5</x:v>
      </x:c>
      <x:c r="G154" s="9"/>
      <x:c r="H154" s="9"/>
      <x:c r="I154" s="9"/>
      <x:c r="J154" s="9" t="str">
        <x:f>IF(H154="","",ROUND(H154-E154,2))</x:f>
      </x:c>
    </x:row>
    <x:row r="155" ht="23" customHeight="1">
      <x:c r="A155" s="2" t="str">
        <x:v>V/Fatura FT 2026/128</x:v>
      </x:c>
      <x:c r="B155" s="7" t="n">
        <x:v>46245</x:v>
      </x:c>
      <x:c r="C155" s="2" t="str">
        <x:v>JORGE GONÇALVES PEREIRA UNIPESSOAL LDA</x:v>
      </x:c>
      <x:c r="D155" s="9" t="n">
        <x:v>40.65</x:v>
      </x:c>
      <x:c r="E155" s="9" t="n">
        <x:v>9.35</x:v>
      </x:c>
      <x:c r="F155" s="9" t="n">
        <x:v>50</x:v>
      </x:c>
      <x:c r="G155" s="9"/>
      <x:c r="H155" s="9"/>
      <x:c r="I155" s="9"/>
      <x:c r="J155" s="9" t="str">
        <x:f>IF(H155="","",ROUND(H155-E155,2))</x:f>
      </x:c>
    </x:row>
    <x:row r="156" ht="23" customHeight="1">
      <x:c r="A156" s="2" t="str">
        <x:v>V/Fatura Recibo 1088</x:v>
      </x:c>
      <x:c r="B156" s="7" t="n">
        <x:v>46247</x:v>
      </x:c>
      <x:c r="C156" s="2" t="str">
        <x:v>FERNANDO AUGUSTO PORTELA SIMÕES</x:v>
      </x:c>
      <x:c r="D156" s="9" t="n">
        <x:v>4.88</x:v>
      </x:c>
      <x:c r="E156" s="9" t="n">
        <x:v>1.12</x:v>
      </x:c>
      <x:c r="F156" s="9" t="n">
        <x:v>6</x:v>
      </x:c>
      <x:c r="G156" s="9"/>
      <x:c r="H156" s="9"/>
      <x:c r="I156" s="9"/>
      <x:c r="J156" s="9" t="str">
        <x:f>IF(H156="","",ROUND(H156-E156,2))</x:f>
      </x:c>
    </x:row>
    <x:row r="157" ht="23" customHeight="1">
      <x:c r="A157" s="2" t="str">
        <x:v>V/Fatura Recibo FE 0D/940317</x:v>
      </x:c>
      <x:c r="B157" s="7" t="n">
        <x:v>46247</x:v>
      </x:c>
      <x:c r="C157" s="2" t="str">
        <x:v>RADIO POPULAR ELECTRODOMESTICOS SA</x:v>
      </x:c>
      <x:c r="D157" s="9" t="n">
        <x:v>219.49</x:v>
      </x:c>
      <x:c r="E157" s="9" t="n">
        <x:v>50.48</x:v>
      </x:c>
      <x:c r="F157" s="9" t="n">
        <x:v>269.97</x:v>
      </x:c>
      <x:c r="G157" s="9"/>
      <x:c r="H157" s="9"/>
      <x:c r="I157" s="9"/>
      <x:c r="J157" s="9" t="str">
        <x:f>IF(H157="","",ROUND(H157-E157,2))</x:f>
      </x:c>
    </x:row>
    <x:row r="158" ht="23" customHeight="1">
      <x:c r="A158" s="2" t="str">
        <x:v>V/Fatura Recibo FE 0D/940454</x:v>
      </x:c>
      <x:c r="B158" s="7" t="n">
        <x:v>46247</x:v>
      </x:c>
      <x:c r="C158" s="2" t="str">
        <x:v>RADIO POPULAR ELECTRODOMESTICOS SA</x:v>
      </x:c>
      <x:c r="D158" s="9" t="n">
        <x:v>219.49</x:v>
      </x:c>
      <x:c r="E158" s="9" t="n">
        <x:v>50.48</x:v>
      </x:c>
      <x:c r="F158" s="9" t="n">
        <x:v>269.97</x:v>
      </x:c>
      <x:c r="G158" s="9"/>
      <x:c r="H158" s="9"/>
      <x:c r="I158" s="9"/>
      <x:c r="J158" s="9" t="str">
        <x:f>IF(H158="","",ROUND(H158-E158,2))</x:f>
      </x:c>
    </x:row>
    <x:row r="159" ht="23" customHeight="1">
      <x:c r="A159" s="2" t="str">
        <x:v>V/Fatura Recibo 42</x:v>
      </x:c>
      <x:c r="B159" s="7" t="n">
        <x:v>46247</x:v>
      </x:c>
      <x:c r="C159" s="2" t="str">
        <x:v>REAL JOBS UNIPESSOAL LDA</x:v>
      </x:c>
      <x:c r="D159" s="9" t="n">
        <x:v>210</x:v>
      </x:c>
      <x:c r="E159" s="9" t="n">
        <x:v>48.3</x:v>
      </x:c>
      <x:c r="F159" s="9" t="n">
        <x:v>258.3</x:v>
      </x:c>
      <x:c r="G159" s="9"/>
      <x:c r="H159" s="9"/>
      <x:c r="I159" s="9"/>
      <x:c r="J159" s="9" t="str">
        <x:f>IF(H159="","",ROUND(H159-E159,2))</x:f>
      </x:c>
    </x:row>
    <x:row r="160" ht="23" customHeight="1">
      <x:c r="A160" s="2" t="str">
        <x:v>V/Fatura FT 2026/41</x:v>
      </x:c>
      <x:c r="B160" s="7" t="n">
        <x:v>46247</x:v>
      </x:c>
      <x:c r="C160" s="2" t="str">
        <x:v>REAL JOBS UNIPESSOAL LDA</x:v>
      </x:c>
      <x:c r="D160" s="9" t="n">
        <x:v>172</x:v>
      </x:c>
      <x:c r="E160" s="9" t="n">
        <x:v>39.56</x:v>
      </x:c>
      <x:c r="F160" s="9" t="n">
        <x:v>211.56</x:v>
      </x:c>
      <x:c r="G160" s="9"/>
      <x:c r="H160" s="9"/>
      <x:c r="I160" s="9"/>
      <x:c r="J160" s="9" t="str">
        <x:f>IF(H160="","",ROUND(H160-E160,2))</x:f>
      </x:c>
    </x:row>
    <x:row r="161" ht="23" customHeight="1">
      <x:c r="A161" s="2" t="str">
        <x:v>V/Fatura FR 2026A11/81</x:v>
      </x:c>
      <x:c r="B161" s="7" t="n">
        <x:v>46248</x:v>
      </x:c>
      <x:c r="C161" s="2" t="str">
        <x:v>GUILHERME SILVA E GOMES SUCRS LDA</x:v>
      </x:c>
      <x:c r="D161" s="9" t="n">
        <x:v>319.51</x:v>
      </x:c>
      <x:c r="E161" s="9" t="n">
        <x:v>73.49</x:v>
      </x:c>
      <x:c r="F161" s="9" t="n">
        <x:v>393</x:v>
      </x:c>
      <x:c r="G161" s="9"/>
      <x:c r="H161" s="9"/>
      <x:c r="I161" s="9"/>
      <x:c r="J161" s="9" t="str">
        <x:f>IF(H161="","",ROUND(H161-E161,2))</x:f>
      </x:c>
    </x:row>
    <x:row r="162" ht="23" customHeight="1">
      <x:c r="A162" s="2" t="str">
        <x:v>V/Fatura Recibo 379878</x:v>
      </x:c>
      <x:c r="B162" s="7" t="n">
        <x:v>46248</x:v>
      </x:c>
      <x:c r="C162" s="2" t="str">
        <x:v>IKEA PORTUGAL MOVEIS E DECORAÇÃO LDA</x:v>
      </x:c>
      <x:c r="D162" s="9" t="n">
        <x:v>274.8</x:v>
      </x:c>
      <x:c r="E162" s="9" t="n">
        <x:v>63.2</x:v>
      </x:c>
      <x:c r="F162" s="9" t="n">
        <x:v>338</x:v>
      </x:c>
      <x:c r="G162" s="9"/>
      <x:c r="H162" s="9"/>
      <x:c r="I162" s="9"/>
      <x:c r="J162" s="9" t="str">
        <x:f>IF(H162="","",ROUND(H162-E162,2))</x:f>
      </x:c>
    </x:row>
    <x:row r="163" ht="23" customHeight="1">
      <x:c r="A163" s="2" t="str">
        <x:v>V/Fatura Recibo 509024</x:v>
      </x:c>
      <x:c r="B163" s="7" t="n">
        <x:v>46248</x:v>
      </x:c>
      <x:c r="C163" s="2" t="str">
        <x:v>MODELO CONTINENTE HIPERMERCADOS S A</x:v>
      </x:c>
      <x:c r="D163" s="9" t="n">
        <x:v>77.23</x:v>
      </x:c>
      <x:c r="E163" s="9" t="n">
        <x:v>17.76</x:v>
      </x:c>
      <x:c r="F163" s="9" t="n">
        <x:v>94.99</x:v>
      </x:c>
      <x:c r="G163" s="9"/>
      <x:c r="H163" s="9"/>
      <x:c r="I163" s="9"/>
      <x:c r="J163" s="9" t="str">
        <x:f>IF(H163="","",ROUND(H163-E163,2))</x:f>
      </x:c>
    </x:row>
    <x:row r="164" ht="23" customHeight="1">
      <x:c r="A164" s="2" t="str">
        <x:v>V/Fatura FAC 262/219</x:v>
      </x:c>
      <x:c r="B164" s="7" t="n">
        <x:v>46249</x:v>
      </x:c>
      <x:c r="C164" s="2" t="str">
        <x:v>REGRAS E VISÃO LDA</x:v>
      </x:c>
      <x:c r="D164" s="9" t="n">
        <x:v>481.15</x:v>
      </x:c>
      <x:c r="E164" s="9" t="n">
        <x:v>110.66</x:v>
      </x:c>
      <x:c r="F164" s="9" t="n">
        <x:v>591.81</x:v>
      </x:c>
      <x:c r="G164" s="9"/>
      <x:c r="H164" s="9"/>
      <x:c r="I164" s="9"/>
      <x:c r="J164" s="9" t="str">
        <x:f>IF(H164="","",ROUND(H164-E164,2))</x:f>
      </x:c>
    </x:row>
    <x:row r="165" ht="23" customHeight="1">
      <x:c r="A165" s="2" t="str">
        <x:v>V/Fatura Recibo 0027644</x:v>
      </x:c>
      <x:c r="B165" s="7" t="n">
        <x:v>46250</x:v>
      </x:c>
      <x:c r="C165" s="2" t="str">
        <x:v>SPDAD SOC PORTUGUESA DE DISTRIBUIÇÃO DE ARTIGOS DE DESP</x:v>
      </x:c>
      <x:c r="D165" s="9" t="n">
        <x:v>22.6</x:v>
      </x:c>
      <x:c r="E165" s="9" t="n">
        <x:v>5.2</x:v>
      </x:c>
      <x:c r="F165" s="9" t="n">
        <x:v>27.8</x:v>
      </x:c>
      <x:c r="G165" s="9"/>
      <x:c r="H165" s="9"/>
      <x:c r="I165" s="9"/>
      <x:c r="J165" s="9" t="str">
        <x:f>IF(H165="","",ROUND(H165-E165,2))</x:f>
      </x:c>
    </x:row>
    <x:row r="166" ht="23" customHeight="1">
      <x:c r="A166" s="2" t="str">
        <x:v>V/Fatura FT 1/56006</x:v>
      </x:c>
      <x:c r="B166" s="7" t="n">
        <x:v>46251</x:v>
      </x:c>
      <x:c r="C166" s="2" t="str">
        <x:v>DANIFER HIGIENE INDUSTRIAL LDA</x:v>
      </x:c>
      <x:c r="D166" s="9" t="n">
        <x:v>262.2</x:v>
      </x:c>
      <x:c r="E166" s="9" t="n">
        <x:v>60.31</x:v>
      </x:c>
      <x:c r="F166" s="9" t="n">
        <x:v>322.51</x:v>
      </x:c>
      <x:c r="G166" s="9"/>
      <x:c r="H166" s="9"/>
      <x:c r="I166" s="9"/>
      <x:c r="J166" s="9" t="str">
        <x:f>IF(H166="","",ROUND(H166-E166,2))</x:f>
      </x:c>
    </x:row>
    <x:row r="167" ht="23" customHeight="1">
      <x:c r="A167" s="2" t="str">
        <x:v>V/Fatura 86</x:v>
      </x:c>
      <x:c r="B167" s="7" t="n">
        <x:v>46251</x:v>
      </x:c>
      <x:c r="C167" s="2" t="str">
        <x:v>EASYWASH UNIPESSOAL, LDA</x:v>
      </x:c>
      <x:c r="D167" s="9" t="n">
        <x:v>978.84</x:v>
      </x:c>
      <x:c r="E167" s="9" t="n">
        <x:v>225.13</x:v>
      </x:c>
      <x:c r="F167" s="9" t="n">
        <x:v>1203.97</x:v>
      </x:c>
      <x:c r="G167" s="9"/>
      <x:c r="H167" s="9"/>
      <x:c r="I167" s="9"/>
      <x:c r="J167" s="9" t="str">
        <x:f>IF(H167="","",ROUND(H167-E167,2))</x:f>
      </x:c>
    </x:row>
    <x:row r="168" ht="23" customHeight="1">
      <x:c r="A168" s="2" t="str">
        <x:v>V/Fatura FT FA.2026L/15</x:v>
      </x:c>
      <x:c r="B168" s="7" t="n">
        <x:v>46251</x:v>
      </x:c>
      <x:c r="C168" s="2" t="str">
        <x:v>EASYWASH UNIPESSOAL, LDA</x:v>
      </x:c>
      <x:c r="D168" s="9" t="n">
        <x:v>16.51</x:v>
      </x:c>
      <x:c r="E168" s="9" t="n">
        <x:v>3.8</x:v>
      </x:c>
      <x:c r="F168" s="9" t="n">
        <x:v>20.31</x:v>
      </x:c>
      <x:c r="G168" s="9"/>
      <x:c r="H168" s="9"/>
      <x:c r="I168" s="9"/>
      <x:c r="J168" s="9" t="str">
        <x:f>IF(H168="","",ROUND(H168-E168,2))</x:f>
      </x:c>
    </x:row>
    <x:row r="169" ht="23" customHeight="1">
      <x:c r="A169" s="2" t="str">
        <x:v>V/Fatura Recibo 288828</x:v>
      </x:c>
      <x:c r="B169" s="7" t="n">
        <x:v>46251</x:v>
      </x:c>
      <x:c r="C169" s="2" t="str">
        <x:v>Nei &amp; Joice Restauração Lda. Sabor Gaucho- Alameda</x:v>
      </x:c>
      <x:c r="D169" s="9" t="n">
        <x:v>17.18</x:v>
      </x:c>
      <x:c r="E169" s="9" t="n">
        <x:v>3.92</x:v>
      </x:c>
      <x:c r="F169" s="9" t="n">
        <x:v>21.1</x:v>
      </x:c>
      <x:c r="G169" s="9"/>
      <x:c r="H169" s="9"/>
      <x:c r="I169" s="9"/>
      <x:c r="J169" s="9" t="str">
        <x:f>IF(H169="","",ROUND(H169-E169,2))</x:f>
      </x:c>
    </x:row>
    <x:row r="170" ht="23" customHeight="1">
      <x:c r="A170" s="2" t="str">
        <x:v>V/Fatura Recibo 289</x:v>
      </x:c>
      <x:c r="B170" s="7" t="n">
        <x:v>46252</x:v>
      </x:c>
      <x:c r="C170" s="2" t="str">
        <x:v>Cardume Fenomenal, Unipessoal, Lda</x:v>
      </x:c>
      <x:c r="D170" s="9" t="n">
        <x:v>25.49</x:v>
      </x:c>
      <x:c r="E170" s="9" t="n">
        <x:v>3.31</x:v>
      </x:c>
      <x:c r="F170" s="9" t="n">
        <x:v>28.8</x:v>
      </x:c>
      <x:c r="G170" s="9"/>
      <x:c r="H170" s="9"/>
      <x:c r="I170" s="9"/>
      <x:c r="J170" s="9" t="str">
        <x:f>IF(H170="","",ROUND(H170-E170,2))</x:f>
      </x:c>
    </x:row>
    <x:row r="171" ht="23" customHeight="1">
      <x:c r="A171" s="2" t="str">
        <x:v>V/Fatura Recibo 12026016498</x:v>
      </x:c>
      <x:c r="B171" s="7" t="n">
        <x:v>46252</x:v>
      </x:c>
      <x:c r="C171" s="2" t="str">
        <x:v>CHENJING WANG</x:v>
      </x:c>
      <x:c r="D171" s="9" t="n">
        <x:v>32.93</x:v>
      </x:c>
      <x:c r="E171" s="9" t="n">
        <x:v>7.57</x:v>
      </x:c>
      <x:c r="F171" s="9" t="n">
        <x:v>40.5</x:v>
      </x:c>
      <x:c r="G171" s="9"/>
      <x:c r="H171" s="9"/>
      <x:c r="I171" s="9"/>
      <x:c r="J171" s="9" t="str">
        <x:f>IF(H171="","",ROUND(H171-E171,2))</x:f>
      </x:c>
    </x:row>
    <x:row r="172" ht="23" customHeight="1">
      <x:c r="A172" s="2" t="str">
        <x:v>V/Fatura Recibo 022384</x:v>
      </x:c>
      <x:c r="B172" s="7" t="n">
        <x:v>46252</x:v>
      </x:c>
      <x:c r="C172" s="2" t="str">
        <x:v>DSTORE RETAIL, S.A.</x:v>
      </x:c>
      <x:c r="D172" s="9" t="n">
        <x:v>269.92</x:v>
      </x:c>
      <x:c r="E172" s="9" t="n">
        <x:v>62.08</x:v>
      </x:c>
      <x:c r="F172" s="9" t="n">
        <x:v>332</x:v>
      </x:c>
      <x:c r="G172" s="9"/>
      <x:c r="H172" s="9"/>
      <x:c r="I172" s="9"/>
      <x:c r="J172" s="9" t="str">
        <x:f>IF(H172="","",ROUND(H172-E172,2))</x:f>
      </x:c>
    </x:row>
    <x:row r="173" ht="23" customHeight="1">
      <x:c r="A173" s="2" t="str">
        <x:v>V/Fatura 2423965</x:v>
      </x:c>
      <x:c r="B173" s="7" t="n">
        <x:v>46252</x:v>
      </x:c>
      <x:c r="C173" s="2" t="str">
        <x:v>NOS COMUNICAÇÕES S A</x:v>
      </x:c>
      <x:c r="D173" s="9" t="n">
        <x:v>140.1</x:v>
      </x:c>
      <x:c r="E173" s="9" t="n">
        <x:v>32.22</x:v>
      </x:c>
      <x:c r="F173" s="9" t="n">
        <x:v>172.32</x:v>
      </x:c>
      <x:c r="G173" s="9"/>
      <x:c r="H173" s="9"/>
      <x:c r="I173" s="9"/>
      <x:c r="J173" s="9" t="str">
        <x:f>IF(H173="","",ROUND(H173-E173,2))</x:f>
      </x:c>
    </x:row>
    <x:row r="174" ht="23" customHeight="1">
      <x:c r="A174" s="2" t="str">
        <x:v>V/Fatura FT 101/119424993</x:v>
      </x:c>
      <x:c r="B174" s="7" t="n">
        <x:v>46252</x:v>
      </x:c>
      <x:c r="C174" s="2" t="str">
        <x:v>VODAFONE PORTUGAL - COMUNICAÇÕES PESSOAIS S A</x:v>
      </x:c>
      <x:c r="D174" s="9" t="n">
        <x:v>34.55</x:v>
      </x:c>
      <x:c r="E174" s="9" t="n">
        <x:v>7.95</x:v>
      </x:c>
      <x:c r="F174" s="9" t="n">
        <x:v>42.5</x:v>
      </x:c>
      <x:c r="G174" s="9"/>
      <x:c r="H174" s="9"/>
      <x:c r="I174" s="9"/>
      <x:c r="J174" s="9" t="str">
        <x:f>IF(H174="","",ROUND(H174-E174,2))</x:f>
      </x:c>
    </x:row>
    <x:row r="175" ht="23" customHeight="1">
      <x:c r="A175" s="2" t="str">
        <x:v>V/Fatura FTA 82SEC126/264</x:v>
      </x:c>
      <x:c r="B175" s="7" t="n">
        <x:v>46253</x:v>
      </x:c>
      <x:c r="C175" s="2" t="str">
        <x:v>ESTILO INTEMPORAL - REPRESENTAÇÕES LDA</x:v>
      </x:c>
      <x:c r="D175" s="9" t="n">
        <x:v>1833.51</x:v>
      </x:c>
      <x:c r="E175" s="9" t="n">
        <x:v>421.71</x:v>
      </x:c>
      <x:c r="F175" s="9" t="n">
        <x:v>2255.22</x:v>
      </x:c>
      <x:c r="G175" s="9"/>
      <x:c r="H175" s="9"/>
      <x:c r="I175" s="9"/>
      <x:c r="J175" s="9" t="str">
        <x:f>IF(H175="","",ROUND(H175-E175,2))</x:f>
      </x:c>
    </x:row>
    <x:row r="176" ht="23" customHeight="1">
      <x:c r="A176" s="2" t="str">
        <x:v>V/Fatura FT FT2026/1</x:v>
      </x:c>
      <x:c r="B176" s="7" t="n">
        <x:v>46253</x:v>
      </x:c>
      <x:c r="C176" s="2" t="str">
        <x:v>João Hespanhol Unipessoal Lda</x:v>
      </x:c>
      <x:c r="D176" s="9" t="n">
        <x:v>127.82</x:v>
      </x:c>
      <x:c r="E176" s="9" t="n">
        <x:v>29.4</x:v>
      </x:c>
      <x:c r="F176" s="9" t="n">
        <x:v>157.22</x:v>
      </x:c>
      <x:c r="G176" s="9"/>
      <x:c r="H176" s="9"/>
      <x:c r="I176" s="9"/>
      <x:c r="J176" s="9" t="str">
        <x:f>IF(H176="","",ROUND(H176-E176,2))</x:f>
      </x:c>
    </x:row>
    <x:row r="177" ht="23" customHeight="1">
      <x:c r="A177" s="2" t="str">
        <x:v>V/Fatura Recibo FR AAD898/091508</x:v>
      </x:c>
      <x:c r="B177" s="7" t="n">
        <x:v>46253</x:v>
      </x:c>
      <x:c r="C177" s="2" t="str">
        <x:v>MODELO CONTINENTE HIPERMERCADOS S A</x:v>
      </x:c>
      <x:c r="D177" s="9" t="n">
        <x:v>228.37</x:v>
      </x:c>
      <x:c r="E177" s="9" t="n">
        <x:v>52.53</x:v>
      </x:c>
      <x:c r="F177" s="9" t="n">
        <x:v>280.9</x:v>
      </x:c>
      <x:c r="G177" s="9"/>
      <x:c r="H177" s="9"/>
      <x:c r="I177" s="9"/>
      <x:c r="J177" s="9" t="str">
        <x:f>IF(H177="","",ROUND(H177-E177,2))</x:f>
      </x:c>
    </x:row>
    <x:row r="178" ht="23" customHeight="1">
      <x:c r="A178" s="2" t="str">
        <x:v>V/Fatura Recibo FS EAF001/240279</x:v>
      </x:c>
      <x:c r="B178" s="7" t="n">
        <x:v>46253</x:v>
      </x:c>
      <x:c r="C178" s="2" t="str">
        <x:v>OCEANO PERFUMADO LDA</x:v>
      </x:c>
      <x:c r="D178" s="9" t="n">
        <x:v>15.88</x:v>
      </x:c>
      <x:c r="E178" s="9" t="n">
        <x:v>3.65</x:v>
      </x:c>
      <x:c r="F178" s="9" t="n">
        <x:v>19.53</x:v>
      </x:c>
      <x:c r="G178" s="9"/>
      <x:c r="H178" s="9"/>
      <x:c r="I178" s="9"/>
      <x:c r="J178" s="9" t="str">
        <x:f>IF(H178="","",ROUND(H178-E178,2))</x:f>
      </x:c>
    </x:row>
    <x:row r="179" ht="23" customHeight="1">
      <x:c r="A179" s="2" t="str">
        <x:v>V/Fatura FT A/873382309</x:v>
      </x:c>
      <x:c r="B179" s="7" t="n">
        <x:v>46257</x:v>
      </x:c>
      <x:c r="C179" s="2" t="str">
        <x:v>MEO - SERVIÇOS DE COMUNICAÇÕES E MULTIMÉDIA S.A.</x:v>
      </x:c>
      <x:c r="D179" s="9" t="n">
        <x:v>375.47</x:v>
      </x:c>
      <x:c r="E179" s="9" t="n">
        <x:v>86.36</x:v>
      </x:c>
      <x:c r="F179" s="9" t="n">
        <x:v>461.83</x:v>
      </x:c>
      <x:c r="G179" s="9"/>
      <x:c r="H179" s="9"/>
      <x:c r="I179" s="9"/>
      <x:c r="J179" s="9" t="str">
        <x:f>IF(H179="","",ROUND(H179-E179,2))</x:f>
      </x:c>
    </x:row>
    <x:row r="180" ht="23" customHeight="1">
      <x:c r="A180" s="2" t="str">
        <x:v>V/Fatura 46</x:v>
      </x:c>
      <x:c r="B180" s="7" t="n">
        <x:v>46258</x:v>
      </x:c>
      <x:c r="C180" s="2" t="str">
        <x:v>REAL JOBS UNIPESSOAL LDA</x:v>
      </x:c>
      <x:c r="D180" s="9" t="n">
        <x:v>790</x:v>
      </x:c>
      <x:c r="E180" s="9" t="n">
        <x:v>181.7</x:v>
      </x:c>
      <x:c r="F180" s="9" t="n">
        <x:v>971.7</x:v>
      </x:c>
      <x:c r="G180" s="9"/>
      <x:c r="H180" s="9"/>
      <x:c r="I180" s="9"/>
      <x:c r="J180" s="9" t="str">
        <x:f>IF(H180="","",ROUND(H180-E180,2))</x:f>
      </x:c>
    </x:row>
    <x:row r="181" ht="23" customHeight="1">
      <x:c r="A181" s="2" t="str">
        <x:v>V/Fatura 119813744</x:v>
      </x:c>
      <x:c r="B181" s="7" t="n">
        <x:v>46259</x:v>
      </x:c>
      <x:c r="C181" s="2" t="str">
        <x:v>VODAFONE PORTUGAL - COMUNICAÇÕES PESSOAIS S A</x:v>
      </x:c>
      <x:c r="D181" s="9" t="n">
        <x:v>200.26</x:v>
      </x:c>
      <x:c r="E181" s="9" t="n">
        <x:v>46.06</x:v>
      </x:c>
      <x:c r="F181" s="9" t="n">
        <x:v>246.32</x:v>
      </x:c>
      <x:c r="G181" s="9"/>
      <x:c r="H181" s="9"/>
      <x:c r="I181" s="9"/>
      <x:c r="J181" s="9" t="str">
        <x:f>IF(H181="","",ROUND(H181-E181,2))</x:f>
      </x:c>
    </x:row>
    <x:row r="182" ht="23" customHeight="1">
      <x:c r="A182" s="2" t="str">
        <x:v>V/Fatura FT FA.2026K/90</x:v>
      </x:c>
      <x:c r="B182" s="7" t="n">
        <x:v>46265</x:v>
      </x:c>
      <x:c r="C182" s="2" t="str">
        <x:v>EASYWASH UNIPESSOAL, LDA</x:v>
      </x:c>
      <x:c r="D182" s="9" t="n">
        <x:v>782.82</x:v>
      </x:c>
      <x:c r="E182" s="9" t="n">
        <x:v>180.05</x:v>
      </x:c>
      <x:c r="F182" s="9" t="n">
        <x:v>962.87</x:v>
      </x:c>
      <x:c r="G182" s="9"/>
      <x:c r="H182" s="9"/>
      <x:c r="I182" s="9"/>
      <x:c r="J182" s="9" t="str">
        <x:f>IF(H182="","",ROUND(H182-E182,2))</x:f>
      </x:c>
    </x:row>
    <x:row r="183" ht="23" customHeight="1">
      <x:c r="A183" s="2" t="str">
        <x:v>V/Fatura FT FA.2026L/16</x:v>
      </x:c>
      <x:c r="B183" s="7" t="n">
        <x:v>46265</x:v>
      </x:c>
      <x:c r="C183" s="2" t="str">
        <x:v>EASYWASH UNIPESSOAL, LDA</x:v>
      </x:c>
      <x:c r="D183" s="9" t="n">
        <x:v>16.51</x:v>
      </x:c>
      <x:c r="E183" s="9" t="n">
        <x:v>3.8</x:v>
      </x:c>
      <x:c r="F183" s="9" t="n">
        <x:v>20.31</x:v>
      </x:c>
      <x:c r="G183" s="9"/>
      <x:c r="H183" s="9"/>
      <x:c r="I183" s="9"/>
      <x:c r="J183" s="9" t="str">
        <x:f>IF(H183="","",ROUND(H183-E183,2))</x:f>
      </x:c>
    </x:row>
    <x:row r="184" ht="23" customHeight="1">
      <x:c r="A184" s="2" t="str">
        <x:v>V/Fatura FR Q26/1721945</x:v>
      </x:c>
      <x:c r="B184" s="7" t="n">
        <x:v>46266</x:v>
      </x:c>
      <x:c r="C184" s="2" t="str">
        <x:v>SECURITAS DIRECT PORTUGAL UNIPESSOAL LDA</x:v>
      </x:c>
      <x:c r="D184" s="9" t="n">
        <x:v>38</x:v>
      </x:c>
      <x:c r="E184" s="9" t="n">
        <x:v>8.74</x:v>
      </x:c>
      <x:c r="F184" s="9" t="n">
        <x:v>46.74</x:v>
      </x:c>
      <x:c r="G184" s="9"/>
      <x:c r="H184" s="9"/>
      <x:c r="I184" s="9"/>
      <x:c r="J184" s="9" t="str">
        <x:f>IF(H184="","",ROUND(H184-E184,2))</x:f>
      </x:c>
    </x:row>
    <x:row r="185" ht="23" customHeight="1">
      <x:c r="A185" s="2" t="str">
        <x:v>V/Fatura FT 101/120291690</x:v>
      </x:c>
      <x:c r="B185" s="7" t="n">
        <x:v>46268</x:v>
      </x:c>
      <x:c r="C185" s="2" t="str">
        <x:v>VODAFONE PORTUGAL - COMUNICAÇÕES PESSOAIS S A</x:v>
      </x:c>
      <x:c r="D185" s="9" t="n">
        <x:v>34.55</x:v>
      </x:c>
      <x:c r="E185" s="9" t="n">
        <x:v>7.95</x:v>
      </x:c>
      <x:c r="F185" s="9" t="n">
        <x:v>42.5</x:v>
      </x:c>
      <x:c r="G185" s="9"/>
      <x:c r="H185" s="9"/>
      <x:c r="I185" s="9"/>
      <x:c r="J185" s="9" t="str">
        <x:f>IF(H185="","",ROUND(H185-E185,2))</x:f>
      </x:c>
    </x:row>
    <x:row r="186" ht="23" customHeight="1">
      <x:c r="A186" s="2" t="str">
        <x:v>V/Fatura Recibo ZFAT BZA1/9181747620</x:v>
      </x:c>
      <x:c r="B186" s="7" t="n">
        <x:v>46269</x:v>
      </x:c>
      <x:c r="C186" s="2" t="str">
        <x:v>PC DIGA LDA</x:v>
      </x:c>
      <x:c r="D186" s="9" t="n">
        <x:v>528.37</x:v>
      </x:c>
      <x:c r="E186" s="9" t="n">
        <x:v>121.53</x:v>
      </x:c>
      <x:c r="F186" s="9" t="n">
        <x:v>649.9</x:v>
      </x:c>
      <x:c r="G186" s="9"/>
      <x:c r="H186" s="9"/>
      <x:c r="I186" s="9"/>
      <x:c r="J186" s="9" t="str">
        <x:f>IF(H186="","",ROUND(H186-E186,2))</x:f>
      </x:c>
    </x:row>
    <x:row r="187" ht="23" customHeight="1">
      <x:c r="A187" s="2" t="str">
        <x:v>V/Fatura Recibo FT 20260011901/007541</x:v>
      </x:c>
      <x:c r="B187" s="7" t="n">
        <x:v>46273</x:v>
      </x:c>
      <x:c r="C187" s="2" t="str">
        <x:v>BCM BRICOLAGE S A</x:v>
      </x:c>
      <x:c r="D187" s="9" t="n">
        <x:v>22.67</x:v>
      </x:c>
      <x:c r="E187" s="9" t="n">
        <x:v>5.21</x:v>
      </x:c>
      <x:c r="F187" s="9" t="n">
        <x:v>27.88</x:v>
      </x:c>
      <x:c r="G187" s="9"/>
      <x:c r="H187" s="9"/>
      <x:c r="I187" s="9"/>
      <x:c r="J187" s="9" t="str">
        <x:f>IF(H187="","",ROUND(H187-E187,2))</x:f>
      </x:c>
    </x:row>
    <x:row r="188" ht="23" customHeight="1">
      <x:c r="A188" s="2" t="str">
        <x:v>V/Fatura Recibo FR AAD897/301311</x:v>
      </x:c>
      <x:c r="B188" s="7" t="n">
        <x:v>46273</x:v>
      </x:c>
      <x:c r="C188" s="2" t="str">
        <x:v>MODELO CONTINENTE HIPERMERCADOS S A</x:v>
      </x:c>
      <x:c r="D188" s="9" t="n">
        <x:v>158.37</x:v>
      </x:c>
      <x:c r="E188" s="9" t="n">
        <x:v>36.43</x:v>
      </x:c>
      <x:c r="F188" s="9" t="n">
        <x:v>194.8</x:v>
      </x:c>
      <x:c r="G188" s="9"/>
      <x:c r="H188" s="9"/>
      <x:c r="I188" s="9"/>
      <x:c r="J188" s="9" t="str">
        <x:f>IF(H188="","",ROUND(H188-E188,2))</x:f>
      </x:c>
    </x:row>
    <x:row r="189" ht="23" customHeight="1">
      <x:c r="A189" s="2" t="str">
        <x:v>V/Fatura FT 2026/51</x:v>
      </x:c>
      <x:c r="B189" s="7" t="n">
        <x:v>46273</x:v>
      </x:c>
      <x:c r="C189" s="2" t="str">
        <x:v>REAL JOBS UNIPESSOAL LDA</x:v>
      </x:c>
      <x:c r="D189" s="9" t="n">
        <x:v>369</x:v>
      </x:c>
      <x:c r="E189" s="9" t="n">
        <x:v>84.87</x:v>
      </x:c>
      <x:c r="F189" s="9" t="n">
        <x:v>453.87</x:v>
      </x:c>
      <x:c r="G189" s="9"/>
      <x:c r="H189" s="9"/>
      <x:c r="I189" s="9"/>
      <x:c r="J189" s="9" t="str">
        <x:f>IF(H189="","",ROUND(H189-E189,2))</x:f>
      </x:c>
    </x:row>
    <x:row r="190" ht="23" customHeight="1">
      <x:c r="A190" s="2" t="str">
        <x:v>V/Fatura FT 2026/53</x:v>
      </x:c>
      <x:c r="B190" s="7" t="n">
        <x:v>46274</x:v>
      </x:c>
      <x:c r="C190" s="2" t="str">
        <x:v>REAL JOBS UNIPESSOAL LDA</x:v>
      </x:c>
      <x:c r="D190" s="9" t="n">
        <x:v>400</x:v>
      </x:c>
      <x:c r="E190" s="9" t="n">
        <x:v>92</x:v>
      </x:c>
      <x:c r="F190" s="9" t="n">
        <x:v>492</x:v>
      </x:c>
      <x:c r="G190" s="9"/>
      <x:c r="H190" s="9"/>
      <x:c r="I190" s="9"/>
      <x:c r="J190" s="9" t="str">
        <x:f>IF(H190="","",ROUND(H190-E190,2))</x:f>
      </x:c>
    </x:row>
    <x:row r="191" ht="23" customHeight="1">
      <x:c r="A191" s="2" t="str">
        <x:v>V/Fatura Recibo FR ATSIRE01FR/26</x:v>
      </x:c>
      <x:c r="B191" s="7" t="n">
        <x:v>46276</x:v>
      </x:c>
      <x:c r="C191" s="2" t="str">
        <x:v>HUGO FILIPE SIMÃO ALVES</x:v>
      </x:c>
      <x:c r="D191" s="9" t="n">
        <x:v>400</x:v>
      </x:c>
      <x:c r="E191" s="9" t="n">
        <x:v>92</x:v>
      </x:c>
      <x:c r="F191" s="9" t="n">
        <x:v>492</x:v>
      </x:c>
      <x:c r="G191" s="9"/>
      <x:c r="H191" s="9"/>
      <x:c r="I191" s="9"/>
      <x:c r="J191" s="9" t="str">
        <x:f>IF(H191="","",ROUND(H191-E191,2))</x:f>
      </x:c>
    </x:row>
    <x:row r="192" ht="23" customHeight="1">
      <x:c r="A192" s="2" t="str">
        <x:v>V/Fatura Recibo FR ATSIRE01FR/8</x:v>
      </x:c>
      <x:c r="B192" s="7" t="n">
        <x:v>46276</x:v>
      </x:c>
      <x:c r="C192" s="2" t="str">
        <x:v>PEDRO NUNO SIMÃO ALVES</x:v>
      </x:c>
      <x:c r="D192" s="9" t="n">
        <x:v>400</x:v>
      </x:c>
      <x:c r="E192" s="9" t="n">
        <x:v>92</x:v>
      </x:c>
      <x:c r="F192" s="9" t="n">
        <x:v>492</x:v>
      </x:c>
      <x:c r="G192" s="9"/>
      <x:c r="H192" s="9"/>
      <x:c r="I192" s="9"/>
      <x:c r="J192" s="9" t="str">
        <x:f>IF(H192="","",ROUND(H192-E192,2))</x:f>
      </x:c>
    </x:row>
    <x:row r="193" ht="23" customHeight="1">
      <x:c r="A193" s="2" t="str">
        <x:v>V/Fatura Recibo 007659</x:v>
      </x:c>
      <x:c r="B193" s="7" t="n">
        <x:v>46279</x:v>
      </x:c>
      <x:c r="C193" s="2" t="str">
        <x:v>BCM BRICOLAGE S A</x:v>
      </x:c>
      <x:c r="D193" s="9" t="n">
        <x:v>70.98</x:v>
      </x:c>
      <x:c r="E193" s="9" t="n">
        <x:v>16.32</x:v>
      </x:c>
      <x:c r="F193" s="9" t="n">
        <x:v>87.3</x:v>
      </x:c>
      <x:c r="G193" s="9"/>
      <x:c r="H193" s="9"/>
      <x:c r="I193" s="9"/>
      <x:c r="J193" s="9" t="str">
        <x:f>IF(H193="","",ROUND(H193-E193,2))</x:f>
      </x:c>
    </x:row>
    <x:row r="194" ht="23" customHeight="1">
      <x:c r="A194" s="2" t="str">
        <x:v>V/Fatura 18293</x:v>
      </x:c>
      <x:c r="B194" s="7" t="n">
        <x:v>46279</x:v>
      </x:c>
      <x:c r="C194" s="2" t="str">
        <x:v>INTERPREV - SEGURANÇA E SAÚDE DO TRABALHO, S.A.</x:v>
      </x:c>
      <x:c r="D194" s="9" t="n">
        <x:v>600</x:v>
      </x:c>
      <x:c r="E194" s="9" t="n">
        <x:v>138</x:v>
      </x:c>
      <x:c r="F194" s="9" t="n">
        <x:v>738</x:v>
      </x:c>
      <x:c r="G194" s="9"/>
      <x:c r="H194" s="9"/>
      <x:c r="I194" s="9"/>
      <x:c r="J194" s="9" t="str">
        <x:f>IF(H194="","",ROUND(H194-E194,2))</x:f>
      </x:c>
    </x:row>
    <x:row r="195" ht="23" customHeight="1">
      <x:c r="A195" s="2" t="str">
        <x:v>V/Fatura 18294</x:v>
      </x:c>
      <x:c r="B195" s="7" t="n">
        <x:v>46279</x:v>
      </x:c>
      <x:c r="C195" s="2" t="str">
        <x:v>INTERPREV - SEGURANÇA E SAÚDE DO TRABALHO, S.A.</x:v>
      </x:c>
      <x:c r="D195" s="9" t="n">
        <x:v>40</x:v>
      </x:c>
      <x:c r="E195" s="9" t="n">
        <x:v>9.2</x:v>
      </x:c>
      <x:c r="F195" s="9" t="n">
        <x:v>49.2</x:v>
      </x:c>
      <x:c r="G195" s="9"/>
      <x:c r="H195" s="9"/>
      <x:c r="I195" s="9"/>
      <x:c r="J195" s="9" t="str">
        <x:f>IF(H195="","",ROUND(H195-E195,2))</x:f>
      </x:c>
    </x:row>
    <x:row r="196" ht="23" customHeight="1">
      <x:c r="A196" s="2" t="str">
        <x:v>V/Fatura 54</x:v>
      </x:c>
      <x:c r="B196" s="7" t="n">
        <x:v>46279</x:v>
      </x:c>
      <x:c r="C196" s="2" t="str">
        <x:v>REAL JOBS UNIPESSOAL LDA</x:v>
      </x:c>
      <x:c r="D196" s="9" t="n">
        <x:v>870</x:v>
      </x:c>
      <x:c r="E196" s="9" t="n">
        <x:v>200.1</x:v>
      </x:c>
      <x:c r="F196" s="9" t="n">
        <x:v>1070.1</x:v>
      </x:c>
      <x:c r="G196" s="9"/>
      <x:c r="H196" s="9"/>
      <x:c r="I196" s="9"/>
      <x:c r="J196" s="9" t="str">
        <x:f>IF(H196="","",ROUND(H196-E196,2))</x:f>
      </x:c>
    </x:row>
    <x:row r="197" ht="23" customHeight="1">
      <x:c r="A197" s="2" t="str">
        <x:v>V/Fatura Recibo 009276</x:v>
      </x:c>
      <x:c r="B197" s="7" t="n">
        <x:v>46280</x:v>
      </x:c>
      <x:c r="C197" s="2" t="str">
        <x:v>BCM BRICOLAGE S A</x:v>
      </x:c>
      <x:c r="D197" s="9" t="n">
        <x:v>5.96</x:v>
      </x:c>
      <x:c r="E197" s="9" t="n">
        <x:v>1.37</x:v>
      </x:c>
      <x:c r="F197" s="9" t="n">
        <x:v>7.33</x:v>
      </x:c>
      <x:c r="G197" s="9"/>
      <x:c r="H197" s="9"/>
      <x:c r="I197" s="9"/>
      <x:c r="J197" s="9" t="str">
        <x:f>IF(H197="","",ROUND(H197-E197,2))</x:f>
      </x:c>
    </x:row>
    <x:row r="198" ht="23" customHeight="1">
      <x:c r="A198" s="2" t="str">
        <x:v>V/Fatura FT FA.2026K/98</x:v>
      </x:c>
      <x:c r="B198" s="7" t="n">
        <x:v>46280</x:v>
      </x:c>
      <x:c r="C198" s="2" t="str">
        <x:v>EASYWASH UNIPESSOAL, LDA</x:v>
      </x:c>
      <x:c r="D198" s="9" t="n">
        <x:v>848.58</x:v>
      </x:c>
      <x:c r="E198" s="9" t="n">
        <x:v>195.17</x:v>
      </x:c>
      <x:c r="F198" s="9" t="n">
        <x:v>1043.75</x:v>
      </x:c>
      <x:c r="G198" s="9"/>
      <x:c r="H198" s="9"/>
      <x:c r="I198" s="9"/>
      <x:c r="J198" s="9" t="str">
        <x:f>IF(H198="","",ROUND(H198-E198,2))</x:f>
      </x:c>
    </x:row>
    <x:row r="199" ht="23" customHeight="1">
      <x:c r="A199" s="2" t="str">
        <x:v>V/Nt. Crédito 37107</x:v>
      </x:c>
      <x:c r="B199" s="7" t="n">
        <x:v>46280</x:v>
      </x:c>
      <x:c r="C199" s="2" t="str">
        <x:v>IKEA PORTUGAL MOVEIS E DECORAÇÃO LDA</x:v>
      </x:c>
      <x:c r="D199" s="9" t="n">
        <x:v>32.02</x:v>
      </x:c>
      <x:c r="E199" s="9" t="n">
        <x:v>7.36</x:v>
      </x:c>
      <x:c r="F199" s="9" t="n">
        <x:v>39.38</x:v>
      </x:c>
      <x:c r="G199" s="9"/>
      <x:c r="H199" s="9"/>
      <x:c r="I199" s="9"/>
      <x:c r="J199" s="9" t="str">
        <x:f>IF(H199="","",ROUND(H199-E199,2))</x:f>
      </x:c>
    </x:row>
    <x:row r="200" ht="23" customHeight="1">
      <x:c r="A200" s="2" t="str">
        <x:v>V/Fatura FAC 262/267</x:v>
      </x:c>
      <x:c r="B200" s="7" t="n">
        <x:v>46280</x:v>
      </x:c>
      <x:c r="C200" s="2" t="str">
        <x:v>REGRAS E VISÃO LDA</x:v>
      </x:c>
      <x:c r="D200" s="9" t="n">
        <x:v>344.8</x:v>
      </x:c>
      <x:c r="E200" s="9" t="n">
        <x:v>79.3</x:v>
      </x:c>
      <x:c r="F200" s="9" t="n">
        <x:v>424.1</x:v>
      </x:c>
      <x:c r="G200" s="9"/>
      <x:c r="H200" s="9"/>
      <x:c r="I200" s="9"/>
      <x:c r="J200" s="9" t="str">
        <x:f>IF(H200="","",ROUND(H200-E200,2))</x:f>
      </x:c>
    </x:row>
    <x:row r="201" ht="23" customHeight="1">
      <x:c r="A201" s="2" t="str">
        <x:v>V/Fatura Recibo 095487</x:v>
      </x:c>
      <x:c r="B201" s="7" t="n">
        <x:v>46281</x:v>
      </x:c>
      <x:c r="C201" s="2" t="str">
        <x:v>MODELO CONTINENTE HIPERMERCADOS S A</x:v>
      </x:c>
      <x:c r="D201" s="9" t="n">
        <x:v>175.4</x:v>
      </x:c>
      <x:c r="E201" s="9" t="n">
        <x:v>40.34</x:v>
      </x:c>
      <x:c r="F201" s="9" t="n">
        <x:v>215.74</x:v>
      </x:c>
      <x:c r="G201" s="9"/>
      <x:c r="H201" s="9"/>
      <x:c r="I201" s="9"/>
      <x:c r="J201" s="9" t="str">
        <x:f>IF(H201="","",ROUND(H201-E201,2))</x:f>
      </x:c>
    </x:row>
  </x:sheetData>
  <x:conditionalFormatting sqref="J2:J201">
    <x:cfRule type="cellIs" dxfId="0" priority="1" operator="greaterThan">
      <x:formula>0.02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476d045aae4dbc"/>
  </x:tableParts>
</x:worksheet>
</file>